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General" sheetId="1" state="visible" r:id="rId1"/>
    <sheet xmlns:r="http://schemas.openxmlformats.org/officeDocument/2006/relationships" name="Detalle de Cuentas por Pag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8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color rgb="00595959"/>
      <sz val="1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595959"/>
      <sz val="9"/>
    </font>
    <font>
      <name val="Segoe UI"/>
      <b val="1"/>
      <color rgb="001F4E78"/>
      <sz val="18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8"/>
        <bgColor rgb="00F2F4F8"/>
      </patternFill>
    </fill>
    <fill>
      <patternFill patternType="solid">
        <fgColor rgb="00D9E1F2"/>
        <bgColor rgb="00D9E1F2"/>
      </patternFill>
    </fill>
    <fill>
      <patternFill patternType="solid">
        <fgColor rgb="00EAEEF7"/>
        <bgColor rgb="00EAEE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E7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5" borderId="0" applyAlignment="1" pivotButton="0" quotePrefix="0" xfId="0">
      <alignment horizontal="center" vertical="center"/>
    </xf>
    <xf numFmtId="164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5" fillId="4" borderId="2" pivotButton="0" quotePrefix="0" xfId="0"/>
    <xf numFmtId="0" fontId="5" fillId="4" borderId="2" applyAlignment="1" pivotButton="0" quotePrefix="0" xfId="0">
      <alignment horizontal="center" vertical="center"/>
    </xf>
    <xf numFmtId="164" fontId="5" fillId="4" borderId="2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  <xf numFmtId="0" fontId="0" fillId="4" borderId="2" pivotButton="0" quotePrefix="0" xfId="0"/>
    <xf numFmtId="0" fontId="1" fillId="0" borderId="0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Monto Total por Proveedor (DOP)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General'!C7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 General'!$A$8:$A$15</f>
            </numRef>
          </cat>
          <val>
            <numRef>
              <f>'Resumen General'!$C$8:$C$15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Proveedor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Monto (DOP)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2" customWidth="1" min="3" max="3"/>
    <col width="15" customWidth="1" min="4" max="4"/>
    <col width="20" customWidth="1" min="5" max="5"/>
    <col width="15" customWidth="1" min="6" max="6"/>
  </cols>
  <sheetData>
    <row r="1">
      <c r="A1" s="1" t="inlineStr">
        <is>
          <t>RESUMEN DE CUENTAS POR PAGAR POR PROVEEDOR</t>
        </is>
      </c>
    </row>
    <row r="2">
      <c r="A2" s="2" t="inlineStr">
        <is>
          <t>Consolidado de obligaciones y saldos por pagar</t>
        </is>
      </c>
    </row>
    <row r="3"/>
    <row r="4">
      <c r="A4" s="3" t="inlineStr">
        <is>
          <t>TOTAL GENERAL POR PAGAR</t>
        </is>
      </c>
      <c r="E4" s="3" t="inlineStr">
        <is>
          <t>TOTAL PROVEEDORES</t>
        </is>
      </c>
    </row>
    <row r="5">
      <c r="A5" s="4">
        <f>'Detalle de Cuentas por Pagar'!D24</f>
        <v/>
      </c>
      <c r="E5" s="5">
        <f>COUNTA(A8:A15)</f>
        <v/>
      </c>
    </row>
    <row r="6"/>
    <row r="7" ht="25" customHeight="1">
      <c r="A7" s="6" t="inlineStr">
        <is>
          <t>Proveedor</t>
        </is>
      </c>
      <c r="B7" s="6" t="inlineStr">
        <is>
          <t>Cantidad Facturas</t>
        </is>
      </c>
      <c r="C7" s="6" t="inlineStr">
        <is>
          <t>Monto Acumulado (DOP)</t>
        </is>
      </c>
      <c r="D7" s="6" t="inlineStr">
        <is>
          <t>% del Total</t>
        </is>
      </c>
      <c r="E7" s="6" t="inlineStr">
        <is>
          <t>Estatus General</t>
        </is>
      </c>
    </row>
    <row r="8" ht="20" customHeight="1">
      <c r="A8" s="7" t="inlineStr">
        <is>
          <t>Agrofem</t>
        </is>
      </c>
      <c r="B8" s="8">
        <f>COUNTIF('Detalle de Cuentas por Pagar'!A$5:A$23, A8)</f>
        <v/>
      </c>
      <c r="C8" s="9">
        <f>SUMIF('Detalle de Cuentas por Pagar'!A$5:A$23, A8, 'Detalle de Cuentas por Pagar'!D$5:D$23)</f>
        <v/>
      </c>
      <c r="D8" s="10">
        <f>C8/C16</f>
        <v/>
      </c>
      <c r="E8" s="8" t="inlineStr">
        <is>
          <t>Pendiente</t>
        </is>
      </c>
    </row>
    <row r="9" ht="20" customHeight="1">
      <c r="A9" s="11" t="inlineStr">
        <is>
          <t>Castillo</t>
        </is>
      </c>
      <c r="B9" s="12">
        <f>COUNTIF('Detalle de Cuentas por Pagar'!A$5:A$23, A9)</f>
        <v/>
      </c>
      <c r="C9" s="13">
        <f>SUMIF('Detalle de Cuentas por Pagar'!A$5:A$23, A9, 'Detalle de Cuentas por Pagar'!D$5:D$23)</f>
        <v/>
      </c>
      <c r="D9" s="14">
        <f>C9/C16</f>
        <v/>
      </c>
      <c r="E9" s="12" t="inlineStr">
        <is>
          <t>Pendiente</t>
        </is>
      </c>
    </row>
    <row r="10" ht="20" customHeight="1">
      <c r="A10" s="7" t="inlineStr">
        <is>
          <t>Henry Rodriguez</t>
        </is>
      </c>
      <c r="B10" s="8">
        <f>COUNTIF('Detalle de Cuentas por Pagar'!A$5:A$23, A10)</f>
        <v/>
      </c>
      <c r="C10" s="9">
        <f>SUMIF('Detalle de Cuentas por Pagar'!A$5:A$23, A10, 'Detalle de Cuentas por Pagar'!D$5:D$23)</f>
        <v/>
      </c>
      <c r="D10" s="10">
        <f>C10/C16</f>
        <v/>
      </c>
      <c r="E10" s="8" t="inlineStr">
        <is>
          <t>Pendiente</t>
        </is>
      </c>
    </row>
    <row r="11" ht="20" customHeight="1">
      <c r="A11" s="11" t="inlineStr">
        <is>
          <t>San Miguel</t>
        </is>
      </c>
      <c r="B11" s="12">
        <f>COUNTIF('Detalle de Cuentas por Pagar'!A$5:A$23, A11)</f>
        <v/>
      </c>
      <c r="C11" s="13">
        <f>SUMIF('Detalle de Cuentas por Pagar'!A$5:A$23, A11, 'Detalle de Cuentas por Pagar'!D$5:D$23)</f>
        <v/>
      </c>
      <c r="D11" s="14">
        <f>C11/C16</f>
        <v/>
      </c>
      <c r="E11" s="12" t="inlineStr">
        <is>
          <t>Pendiente</t>
        </is>
      </c>
    </row>
    <row r="12" ht="20" customHeight="1">
      <c r="A12" s="7" t="inlineStr">
        <is>
          <t>IVAD S.R.L.</t>
        </is>
      </c>
      <c r="B12" s="8">
        <f>COUNTIF('Detalle de Cuentas por Pagar'!A$5:A$23, A12)</f>
        <v/>
      </c>
      <c r="C12" s="9">
        <f>SUMIF('Detalle de Cuentas por Pagar'!A$5:A$23, A12, 'Detalle de Cuentas por Pagar'!D$5:D$23)</f>
        <v/>
      </c>
      <c r="D12" s="10">
        <f>C12/C16</f>
        <v/>
      </c>
      <c r="E12" s="8" t="inlineStr">
        <is>
          <t>Pendiente</t>
        </is>
      </c>
    </row>
    <row r="13" ht="20" customHeight="1">
      <c r="A13" s="11" t="inlineStr">
        <is>
          <t>Inversiones Ril's SRL</t>
        </is>
      </c>
      <c r="B13" s="12">
        <f>COUNTIF('Detalle de Cuentas por Pagar'!A$5:A$23, A13)</f>
        <v/>
      </c>
      <c r="C13" s="13">
        <f>SUMIF('Detalle de Cuentas por Pagar'!A$5:A$23, A13, 'Detalle de Cuentas por Pagar'!D$5:D$23)</f>
        <v/>
      </c>
      <c r="D13" s="14">
        <f>C13/C16</f>
        <v/>
      </c>
      <c r="E13" s="12" t="inlineStr">
        <is>
          <t>Pendiente</t>
        </is>
      </c>
    </row>
    <row r="14" ht="20" customHeight="1">
      <c r="A14" s="7" t="inlineStr">
        <is>
          <t>Trackstore</t>
        </is>
      </c>
      <c r="B14" s="8">
        <f>COUNTIF('Detalle de Cuentas por Pagar'!A$5:A$23, A14)</f>
        <v/>
      </c>
      <c r="C14" s="9">
        <f>SUMIF('Detalle de Cuentas por Pagar'!A$5:A$23, A14, 'Detalle de Cuentas por Pagar'!D$5:D$23)</f>
        <v/>
      </c>
      <c r="D14" s="10">
        <f>C14/C16</f>
        <v/>
      </c>
      <c r="E14" s="8" t="inlineStr">
        <is>
          <t>Pendiente</t>
        </is>
      </c>
    </row>
    <row r="15" ht="20" customHeight="1">
      <c r="A15" s="11" t="inlineStr">
        <is>
          <t>Emaspon</t>
        </is>
      </c>
      <c r="B15" s="12">
        <f>COUNTIF('Detalle de Cuentas por Pagar'!A$5:A$23, A15)</f>
        <v/>
      </c>
      <c r="C15" s="13">
        <f>SUMIF('Detalle de Cuentas por Pagar'!A$5:A$23, A15, 'Detalle de Cuentas por Pagar'!D$5:D$23)</f>
        <v/>
      </c>
      <c r="D15" s="14">
        <f>C15/C16</f>
        <v/>
      </c>
      <c r="E15" s="12" t="inlineStr">
        <is>
          <t>Pendiente de Monto</t>
        </is>
      </c>
    </row>
    <row r="16" ht="22" customHeight="1">
      <c r="A16" s="15" t="inlineStr">
        <is>
          <t>TOTAL GENERAL</t>
        </is>
      </c>
      <c r="B16" s="16">
        <f>SUM(B8:B15)</f>
        <v/>
      </c>
      <c r="C16" s="17">
        <f>SUM(C8:C15)</f>
        <v/>
      </c>
      <c r="D16" s="18">
        <f>SUM(D8:D15)</f>
        <v/>
      </c>
      <c r="E16" s="19" t="n"/>
    </row>
  </sheetData>
  <mergeCells count="6">
    <mergeCell ref="E4:F4"/>
    <mergeCell ref="A2:E2"/>
    <mergeCell ref="A5:C5"/>
    <mergeCell ref="E5:F5"/>
    <mergeCell ref="A1:E1"/>
    <mergeCell ref="A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8" customWidth="1" min="4" max="4"/>
    <col width="15" customWidth="1" min="5" max="5"/>
    <col width="32" customWidth="1" min="6" max="6"/>
  </cols>
  <sheetData>
    <row r="1">
      <c r="A1" s="20" t="inlineStr">
        <is>
          <t>CONTROL DE CUENTAS POR PAGAR Y REGISTRO DE FACTURAS</t>
        </is>
      </c>
    </row>
    <row r="2">
      <c r="A2" s="2" t="inlineStr">
        <is>
          <t>Registro consolidado de proveedores - Periodo Julio - Septiembre 2026</t>
        </is>
      </c>
    </row>
    <row r="3"/>
    <row r="4" ht="25" customHeight="1">
      <c r="A4" s="6" t="inlineStr">
        <is>
          <t>Proveedor</t>
        </is>
      </c>
      <c r="B4" s="6" t="inlineStr">
        <is>
          <t>Fecha Emisión</t>
        </is>
      </c>
      <c r="C4" s="6" t="inlineStr">
        <is>
          <t>Fecha Vencimiento</t>
        </is>
      </c>
      <c r="D4" s="6" t="inlineStr">
        <is>
          <t>Monto (DOP)</t>
        </is>
      </c>
      <c r="E4" s="6" t="inlineStr">
        <is>
          <t>Estado</t>
        </is>
      </c>
      <c r="F4" s="6" t="inlineStr">
        <is>
          <t>Notas / Observaciones</t>
        </is>
      </c>
    </row>
    <row r="5" ht="20" customHeight="1">
      <c r="A5" s="7" t="inlineStr">
        <is>
          <t>Agrofem</t>
        </is>
      </c>
      <c r="B5" s="8" t="inlineStr">
        <is>
          <t>2026-09-01</t>
        </is>
      </c>
      <c r="C5" s="8" t="inlineStr">
        <is>
          <t>2026-10-06</t>
        </is>
      </c>
      <c r="D5" s="9" t="n">
        <v>3608.4</v>
      </c>
      <c r="E5" s="8" t="inlineStr">
        <is>
          <t>Pendiente</t>
        </is>
      </c>
      <c r="F5" s="7" t="inlineStr">
        <is>
          <t>Factura 1 (Anexo 7,840.00)</t>
        </is>
      </c>
    </row>
    <row r="6" ht="20" customHeight="1">
      <c r="A6" s="11" t="inlineStr">
        <is>
          <t>Agrofem</t>
        </is>
      </c>
      <c r="B6" s="12" t="inlineStr">
        <is>
          <t>2026-09-01</t>
        </is>
      </c>
      <c r="C6" s="12" t="inlineStr">
        <is>
          <t>2026-10-06</t>
        </is>
      </c>
      <c r="D6" s="13" t="n">
        <v>7840</v>
      </c>
      <c r="E6" s="12" t="inlineStr">
        <is>
          <t>Pendiente</t>
        </is>
      </c>
      <c r="F6" s="11" t="inlineStr">
        <is>
          <t>Factura 2</t>
        </is>
      </c>
    </row>
    <row r="7" ht="20" customHeight="1">
      <c r="A7" s="7" t="inlineStr">
        <is>
          <t>Agrofem</t>
        </is>
      </c>
      <c r="B7" s="8" t="inlineStr">
        <is>
          <t>2026-09-02</t>
        </is>
      </c>
      <c r="C7" s="8" t="inlineStr">
        <is>
          <t>2026-10-07</t>
        </is>
      </c>
      <c r="D7" s="9" t="n">
        <v>23498.2</v>
      </c>
      <c r="E7" s="8" t="inlineStr">
        <is>
          <t>Pendiente</t>
        </is>
      </c>
      <c r="F7" s="7" t="inlineStr">
        <is>
          <t>Factura 1 (Anexo 30,064.00)</t>
        </is>
      </c>
    </row>
    <row r="8" ht="20" customHeight="1">
      <c r="A8" s="11" t="inlineStr">
        <is>
          <t>Agrofem</t>
        </is>
      </c>
      <c r="B8" s="12" t="inlineStr">
        <is>
          <t>2026-09-02</t>
        </is>
      </c>
      <c r="C8" s="12" t="inlineStr">
        <is>
          <t>2026-10-07</t>
        </is>
      </c>
      <c r="D8" s="13" t="n">
        <v>30064</v>
      </c>
      <c r="E8" s="12" t="inlineStr">
        <is>
          <t>Pendiente</t>
        </is>
      </c>
      <c r="F8" s="11" t="inlineStr">
        <is>
          <t>Factura 2</t>
        </is>
      </c>
    </row>
    <row r="9" ht="20" customHeight="1">
      <c r="A9" s="7" t="inlineStr">
        <is>
          <t>Agrofem</t>
        </is>
      </c>
      <c r="B9" s="8" t="inlineStr">
        <is>
          <t>2026-09-08</t>
        </is>
      </c>
      <c r="C9" s="8" t="inlineStr">
        <is>
          <t>2026-10-13</t>
        </is>
      </c>
      <c r="D9" s="9" t="n">
        <v>16960</v>
      </c>
      <c r="E9" s="8" t="inlineStr">
        <is>
          <t>Pendiente</t>
        </is>
      </c>
      <c r="F9" s="7" t="inlineStr">
        <is>
          <t>Factura 1 (Anexo 28,024.00)</t>
        </is>
      </c>
    </row>
    <row r="10" ht="20" customHeight="1">
      <c r="A10" s="11" t="inlineStr">
        <is>
          <t>Agrofem</t>
        </is>
      </c>
      <c r="B10" s="12" t="inlineStr">
        <is>
          <t>2026-09-08</t>
        </is>
      </c>
      <c r="C10" s="12" t="inlineStr">
        <is>
          <t>2026-10-13</t>
        </is>
      </c>
      <c r="D10" s="13" t="n">
        <v>28024</v>
      </c>
      <c r="E10" s="12" t="inlineStr">
        <is>
          <t>Pendiente</t>
        </is>
      </c>
      <c r="F10" s="11" t="inlineStr">
        <is>
          <t>Factura 2</t>
        </is>
      </c>
    </row>
    <row r="11" ht="20" customHeight="1">
      <c r="A11" s="7" t="inlineStr">
        <is>
          <t>Castillo</t>
        </is>
      </c>
      <c r="B11" s="8" t="inlineStr">
        <is>
          <t>2026-09-02</t>
        </is>
      </c>
      <c r="C11" s="8" t="inlineStr">
        <is>
          <t>N/A</t>
        </is>
      </c>
      <c r="D11" s="9" t="n">
        <v>15057</v>
      </c>
      <c r="E11" s="8" t="inlineStr">
        <is>
          <t>Pendiente</t>
        </is>
      </c>
      <c r="F11" s="7" t="inlineStr">
        <is>
          <t>Mes Septiembre</t>
        </is>
      </c>
    </row>
    <row r="12" ht="20" customHeight="1">
      <c r="A12" s="11" t="inlineStr">
        <is>
          <t>Castillo</t>
        </is>
      </c>
      <c r="B12" s="12" t="inlineStr">
        <is>
          <t>2026-09-08</t>
        </is>
      </c>
      <c r="C12" s="12" t="inlineStr">
        <is>
          <t>N/A</t>
        </is>
      </c>
      <c r="D12" s="13" t="n">
        <v>17441</v>
      </c>
      <c r="E12" s="12" t="inlineStr">
        <is>
          <t>Pendiente</t>
        </is>
      </c>
      <c r="F12" s="11" t="inlineStr">
        <is>
          <t>Mes Septiembre</t>
        </is>
      </c>
    </row>
    <row r="13" ht="20" customHeight="1">
      <c r="A13" s="7" t="inlineStr">
        <is>
          <t>Castillo</t>
        </is>
      </c>
      <c r="B13" s="8" t="inlineStr">
        <is>
          <t>2026-08-19</t>
        </is>
      </c>
      <c r="C13" s="8" t="inlineStr">
        <is>
          <t>N/A</t>
        </is>
      </c>
      <c r="D13" s="9" t="n">
        <v>23064</v>
      </c>
      <c r="E13" s="8" t="inlineStr">
        <is>
          <t>Pendiente</t>
        </is>
      </c>
      <c r="F13" s="7" t="inlineStr">
        <is>
          <t>Mes Agosto</t>
        </is>
      </c>
    </row>
    <row r="14" ht="20" customHeight="1">
      <c r="A14" s="11" t="inlineStr">
        <is>
          <t>Castillo</t>
        </is>
      </c>
      <c r="B14" s="12" t="inlineStr">
        <is>
          <t>2026-08-16</t>
        </is>
      </c>
      <c r="C14" s="12" t="inlineStr">
        <is>
          <t>N/A</t>
        </is>
      </c>
      <c r="D14" s="13" t="n">
        <v>23452</v>
      </c>
      <c r="E14" s="12" t="inlineStr">
        <is>
          <t>Pendiente</t>
        </is>
      </c>
      <c r="F14" s="11" t="inlineStr">
        <is>
          <t>Mes Agosto</t>
        </is>
      </c>
    </row>
    <row r="15" ht="20" customHeight="1">
      <c r="A15" s="7" t="inlineStr">
        <is>
          <t>Castillo</t>
        </is>
      </c>
      <c r="B15" s="8" t="inlineStr">
        <is>
          <t>2026-08-05</t>
        </is>
      </c>
      <c r="C15" s="8" t="inlineStr">
        <is>
          <t>N/A</t>
        </is>
      </c>
      <c r="D15" s="9" t="n">
        <v>31617.5</v>
      </c>
      <c r="E15" s="8" t="inlineStr">
        <is>
          <t>Pendiente</t>
        </is>
      </c>
      <c r="F15" s="7" t="inlineStr">
        <is>
          <t>Mes Agosto</t>
        </is>
      </c>
    </row>
    <row r="16" ht="20" customHeight="1">
      <c r="A16" s="11" t="inlineStr">
        <is>
          <t>Castillo</t>
        </is>
      </c>
      <c r="B16" s="12" t="inlineStr">
        <is>
          <t>2026-07-29</t>
        </is>
      </c>
      <c r="C16" s="12" t="inlineStr">
        <is>
          <t>N/A</t>
        </is>
      </c>
      <c r="D16" s="13" t="n">
        <v>18099</v>
      </c>
      <c r="E16" s="12" t="inlineStr">
        <is>
          <t>Pendiente</t>
        </is>
      </c>
      <c r="F16" s="11" t="inlineStr">
        <is>
          <t>Mes Julio</t>
        </is>
      </c>
    </row>
    <row r="17" ht="20" customHeight="1">
      <c r="A17" s="7" t="inlineStr">
        <is>
          <t>Castillo</t>
        </is>
      </c>
      <c r="B17" s="8" t="inlineStr">
        <is>
          <t>2026-07-21</t>
        </is>
      </c>
      <c r="C17" s="8" t="inlineStr">
        <is>
          <t>N/A</t>
        </is>
      </c>
      <c r="D17" s="9" t="n">
        <v>19436</v>
      </c>
      <c r="E17" s="8" t="inlineStr">
        <is>
          <t>Pendiente</t>
        </is>
      </c>
      <c r="F17" s="7" t="inlineStr">
        <is>
          <t>Mes Julio</t>
        </is>
      </c>
    </row>
    <row r="18" ht="20" customHeight="1">
      <c r="A18" s="11" t="inlineStr">
        <is>
          <t>Henry Rodriguez</t>
        </is>
      </c>
      <c r="B18" s="12" t="inlineStr">
        <is>
          <t>2026-09-08</t>
        </is>
      </c>
      <c r="C18" s="12" t="inlineStr">
        <is>
          <t>2026-09-23</t>
        </is>
      </c>
      <c r="D18" s="13" t="n">
        <v>27050</v>
      </c>
      <c r="E18" s="12" t="inlineStr">
        <is>
          <t>Pendiente</t>
        </is>
      </c>
      <c r="F18" s="11" t="inlineStr">
        <is>
          <t>Mes Septiembre</t>
        </is>
      </c>
    </row>
    <row r="19" ht="20" customHeight="1">
      <c r="A19" s="7" t="inlineStr">
        <is>
          <t>San Miguel</t>
        </is>
      </c>
      <c r="B19" s="8" t="inlineStr">
        <is>
          <t>2026-09-02</t>
        </is>
      </c>
      <c r="C19" s="8" t="inlineStr">
        <is>
          <t>N/A</t>
        </is>
      </c>
      <c r="D19" s="9" t="n">
        <v>9337.26</v>
      </c>
      <c r="E19" s="8" t="inlineStr">
        <is>
          <t>Pendiente</t>
        </is>
      </c>
      <c r="F19" s="7" t="inlineStr">
        <is>
          <t>Mes Septiembre</t>
        </is>
      </c>
    </row>
    <row r="20" ht="20" customHeight="1">
      <c r="A20" s="11" t="inlineStr">
        <is>
          <t>IVAD S.R.L.</t>
        </is>
      </c>
      <c r="B20" s="12" t="inlineStr">
        <is>
          <t>2026-09-01</t>
        </is>
      </c>
      <c r="C20" s="12" t="inlineStr">
        <is>
          <t>N/A</t>
        </is>
      </c>
      <c r="D20" s="13" t="n">
        <v>5380</v>
      </c>
      <c r="E20" s="12" t="inlineStr">
        <is>
          <t>Pendiente</t>
        </is>
      </c>
      <c r="F20" s="11" t="inlineStr">
        <is>
          <t>Mes Septiembre</t>
        </is>
      </c>
    </row>
    <row r="21" ht="20" customHeight="1">
      <c r="A21" s="7" t="inlineStr">
        <is>
          <t>Inversiones Ril's SRL</t>
        </is>
      </c>
      <c r="B21" s="8" t="inlineStr">
        <is>
          <t>2026-09-02</t>
        </is>
      </c>
      <c r="C21" s="8" t="inlineStr">
        <is>
          <t>N/A</t>
        </is>
      </c>
      <c r="D21" s="9" t="n">
        <v>58385.55</v>
      </c>
      <c r="E21" s="8" t="inlineStr">
        <is>
          <t>Pendiente</t>
        </is>
      </c>
      <c r="F21" s="7" t="inlineStr">
        <is>
          <t>Mes Septiembre</t>
        </is>
      </c>
    </row>
    <row r="22" ht="20" customHeight="1">
      <c r="A22" s="11" t="inlineStr">
        <is>
          <t>Trackstore</t>
        </is>
      </c>
      <c r="B22" s="12" t="inlineStr">
        <is>
          <t>2026-09-02</t>
        </is>
      </c>
      <c r="C22" s="12" t="inlineStr">
        <is>
          <t>N/A</t>
        </is>
      </c>
      <c r="D22" s="13" t="n">
        <v>46197.9</v>
      </c>
      <c r="E22" s="12" t="inlineStr">
        <is>
          <t>Pendiente</t>
        </is>
      </c>
      <c r="F22" s="11" t="inlineStr">
        <is>
          <t>Mes Septiembre</t>
        </is>
      </c>
    </row>
    <row r="23" ht="20" customHeight="1">
      <c r="A23" s="7" t="inlineStr">
        <is>
          <t>Emaspon</t>
        </is>
      </c>
      <c r="B23" s="8" t="inlineStr">
        <is>
          <t>2026-09-08</t>
        </is>
      </c>
      <c r="C23" s="8" t="inlineStr">
        <is>
          <t>N/A</t>
        </is>
      </c>
      <c r="D23" s="9" t="n">
        <v>0</v>
      </c>
      <c r="E23" s="8" t="inlineStr">
        <is>
          <t>Por Confirmar</t>
        </is>
      </c>
      <c r="F23" s="7" t="inlineStr">
        <is>
          <t>Monto pendiente de confirmación (?)</t>
        </is>
      </c>
    </row>
    <row r="24" ht="22" customHeight="1">
      <c r="A24" s="21" t="inlineStr">
        <is>
          <t>TOTAL GENERAL</t>
        </is>
      </c>
      <c r="B24" s="19" t="n"/>
      <c r="C24" s="19" t="n"/>
      <c r="D24" s="17">
        <f>SUM(D5:D23)</f>
        <v/>
      </c>
      <c r="E24" s="19" t="n"/>
      <c r="F24" s="19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2026-09-10T16:24:30Z</dcterms:created>
  <dcterms:modified xmlns:dcterms="http://purl.org/dc/terms/" xmlns:xsi="http://www.w3.org/2001/XMLSchema-instance" xsi:type="dcterms:W3CDTF">2026-09-10T16:24:30Z</dcterms:modified>
</cp:coreProperties>
</file>