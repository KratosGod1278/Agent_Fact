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General" sheetId="1" state="visible" r:id="rId3"/>
    <sheet name="Detalle de Cuentas por Paga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<sst xmlns="http://schemas.openxmlformats.org/spreadsheetml/2006/main" count="155" uniqueCount="60">
  <si>
    <t xml:space="preserve">RESUMEN DE CUENTAS POR PAGAR POR PROVEEDOR</t>
  </si>
  <si>
    <t xml:space="preserve">Consolidado de obligaciones y saldos por pagar</t>
  </si>
  <si>
    <t xml:space="preserve">TOTAL GENERAL POR PAGAR</t>
  </si>
  <si>
    <t xml:space="preserve">TOTAL PROVEEDORES</t>
  </si>
  <si>
    <t xml:space="preserve">Proveedor</t>
  </si>
  <si>
    <t xml:space="preserve">Cantidad Facturas</t>
  </si>
  <si>
    <t xml:space="preserve">Monto Acumulado (DOP)</t>
  </si>
  <si>
    <t xml:space="preserve">% del Total</t>
  </si>
  <si>
    <t xml:space="preserve">Estatus General</t>
  </si>
  <si>
    <t xml:space="preserve">Agrofem</t>
  </si>
  <si>
    <t xml:space="preserve">Pendiente</t>
  </si>
  <si>
    <t xml:space="preserve">Castillo</t>
  </si>
  <si>
    <t xml:space="preserve">Henry Rodriguez</t>
  </si>
  <si>
    <t xml:space="preserve">San Miguel</t>
  </si>
  <si>
    <t xml:space="preserve">IVAD S.R.L.</t>
  </si>
  <si>
    <t xml:space="preserve">Inversiones Ril's SRL</t>
  </si>
  <si>
    <t xml:space="preserve">Trackstore</t>
  </si>
  <si>
    <t xml:space="preserve">Emaspon</t>
  </si>
  <si>
    <t xml:space="preserve">Pendiente de Monto</t>
  </si>
  <si>
    <t xml:space="preserve">TOTAL GENERAL</t>
  </si>
  <si>
    <t xml:space="preserve">CONTROL DE CUENTAS POR PAGAR Y REGISTRO DE FACTURAS</t>
  </si>
  <si>
    <t xml:space="preserve">Registro consolidado de proveedores - Periodo Julio - Septiembre 2026</t>
  </si>
  <si>
    <t xml:space="preserve">Fecha Emisión</t>
  </si>
  <si>
    <t xml:space="preserve">Fecha Vencimiento</t>
  </si>
  <si>
    <t xml:space="preserve">Monto (DOP)</t>
  </si>
  <si>
    <t xml:space="preserve">Estado</t>
  </si>
  <si>
    <t xml:space="preserve">Notas / Observaciones</t>
  </si>
  <si>
    <t xml:space="preserve">2026-09-01</t>
  </si>
  <si>
    <t xml:space="preserve">2026-10-06</t>
  </si>
  <si>
    <t xml:space="preserve">Factura 1 (Anexo 7,840.00)</t>
  </si>
  <si>
    <t xml:space="preserve">Factura 2</t>
  </si>
  <si>
    <t xml:space="preserve">2026-09-02</t>
  </si>
  <si>
    <t xml:space="preserve">2026-10-07</t>
  </si>
  <si>
    <t xml:space="preserve">Factura 1 (Anexo 30,064.00)</t>
  </si>
  <si>
    <t xml:space="preserve">2026-09-08</t>
  </si>
  <si>
    <t xml:space="preserve">2026-10-13</t>
  </si>
  <si>
    <t xml:space="preserve">Factura 1 (Anexo 28,024.00)</t>
  </si>
  <si>
    <t xml:space="preserve">N/A</t>
  </si>
  <si>
    <t xml:space="preserve">Mes Septiembre</t>
  </si>
  <si>
    <t xml:space="preserve">2026-08-19</t>
  </si>
  <si>
    <t xml:space="preserve">Mes Agosto</t>
  </si>
  <si>
    <t xml:space="preserve">2026-08-16</t>
  </si>
  <si>
    <t xml:space="preserve">2026-08-05</t>
  </si>
  <si>
    <t xml:space="preserve">2026-07-29</t>
  </si>
  <si>
    <t xml:space="preserve">Mes Julio</t>
  </si>
  <si>
    <t xml:space="preserve">2026-07-21</t>
  </si>
  <si>
    <t xml:space="preserve">2026-09-23</t>
  </si>
  <si>
    <t xml:space="preserve">Por Confirmar</t>
  </si>
  <si>
    <t xml:space="preserve">Monto pendiente de confirmación (?)</t>
  </si>
  <si>
    <t xml:space="preserve">valerio</t>
  </si>
  <si>
    <t xml:space="preserve">POR CONFIRMAR</t>
  </si>
  <si>
    <t xml:space="preserve">PENDIENTE</t>
  </si>
  <si>
    <t xml:space="preserve">mes septiembre</t>
  </si>
  <si>
    <t xml:space="preserve">Metrogas</t>
  </si>
  <si>
    <t xml:space="preserve">pendiente</t>
  </si>
  <si>
    <t xml:space="preserve">septiembre</t>
  </si>
  <si>
    <t xml:space="preserve">GerardoML</t>
  </si>
  <si>
    <t xml:space="preserve">Bmindanor</t>
  </si>
  <si>
    <t xml:space="preserve">Hielo Central</t>
  </si>
  <si>
    <t xml:space="preserve">septiembre y agosto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</si>
</sst>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General"/>
    <numFmt numFmtId="167" formatCode="0.0%"/>
    <numFmt numFmtId="168" formatCode="[$$-409]#,##0.00;[RED]\-[$$-409]#,##0.00"/>
    <numFmt numFmtId="169" formatCode="yyyy\-mm\-dd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Segoe UI"/>
      <family val="0"/>
      <charset val="1"/>
    </font>
    <font>
      <i val="true"/>
      <sz val="11"/>
      <color rgb="FF595959"/>
      <name val="Segoe UI"/>
      <family val="0"/>
      <charset val="1"/>
    </font>
    <font>
      <b val="true"/>
      <sz val="9"/>
      <color rgb="FF595959"/>
      <name val="Segoe UI"/>
      <family val="0"/>
      <charset val="1"/>
    </font>
    <font>
      <b val="true"/>
      <sz val="18"/>
      <color rgb="FF1F4E78"/>
      <name val="Segoe UI"/>
      <family val="0"/>
      <charset val="1"/>
    </font>
    <font>
      <b val="true"/>
      <sz val="11"/>
      <color rgb="FFFFFFFF"/>
      <name val="Segoe UI"/>
      <family val="0"/>
      <charset val="1"/>
    </font>
    <font>
      <sz val="10"/>
      <name val="Segoe UI"/>
      <family val="0"/>
      <charset val="1"/>
    </font>
    <font>
      <b val="true"/>
      <sz val="11"/>
      <color rgb="FF1F4E78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EAEEF7"/>
        <bgColor rgb="FFF2F4F8"/>
      </patternFill>
    </fill>
    <fill>
      <patternFill patternType="solid">
        <fgColor rgb="FF1F4E78"/>
        <bgColor rgb="FF3465A4"/>
      </patternFill>
    </fill>
    <fill>
      <patternFill patternType="solid">
        <fgColor rgb="FFF2F4F8"/>
        <bgColor rgb="FFF9F9F9"/>
      </patternFill>
    </fill>
    <fill>
      <patternFill patternType="solid">
        <fgColor rgb="FFD9E1F2"/>
        <bgColor rgb="FFD9D9D9"/>
      </patternFill>
    </fill>
    <fill>
      <patternFill patternType="solid">
        <fgColor rgb="FF3465A4"/>
        <bgColor rgb="FF1F4E7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D9D9D9"/>
      </top>
      <bottom style="double">
        <color rgb="FF1F4E7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9F9F9"/>
      <rgbColor rgb="FFEAEE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8"/>
      <rgbColor rgb="FFD9E1F2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4F81BD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Monto Total por Proveedor (DOP)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'Resumen General'!C7</c:f>
              <c:strCache>
                <c:ptCount val="1"/>
                <c:pt idx="0">
                  <c:v>Monto Acumulado (DOP)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General'!$A$8:$A$15</c:f>
              <c:strCache>
                <c:ptCount val="8"/>
                <c:pt idx="0">
                  <c:v>Agrofem</c:v>
                </c:pt>
                <c:pt idx="1">
                  <c:v>Castillo</c:v>
                </c:pt>
                <c:pt idx="2">
                  <c:v>Henry Rodriguez</c:v>
                </c:pt>
                <c:pt idx="3">
                  <c:v>San Miguel</c:v>
                </c:pt>
                <c:pt idx="4">
                  <c:v>IVAD S.R.L.</c:v>
                </c:pt>
                <c:pt idx="5">
                  <c:v>Inversiones Ril's SRL</c:v>
                </c:pt>
                <c:pt idx="6">
                  <c:v>Trackstore</c:v>
                </c:pt>
                <c:pt idx="7">
                  <c:v>Emaspon</c:v>
                </c:pt>
              </c:strCache>
            </c:strRef>
          </c:cat>
          <c:val>
            <c:numRef>
              <c:f>'Resumen General'!$C$8:$C$15</c:f>
              <c:numCache>
                <c:formatCode>\$#,##0.00</c:formatCode>
                <c:ptCount val="8"/>
                <c:pt idx="0">
                  <c:v>109994.6</c:v>
                </c:pt>
                <c:pt idx="1">
                  <c:v>148166.5</c:v>
                </c:pt>
                <c:pt idx="2">
                  <c:v>27050</c:v>
                </c:pt>
                <c:pt idx="3">
                  <c:v>9337.26</c:v>
                </c:pt>
                <c:pt idx="4">
                  <c:v>5380</c:v>
                </c:pt>
                <c:pt idx="5">
                  <c:v>58385.55</c:v>
                </c:pt>
                <c:pt idx="6">
                  <c:v>46197.9</c:v>
                </c:pt>
                <c:pt idx="7">
                  <c:v>66320</c:v>
                </c:pt>
              </c:numCache>
            </c:numRef>
          </c:val>
        </c:ser>
        <c:gapWidth val="150"/>
        <c:overlap val="0"/>
        <c:axId val="73174016"/>
        <c:axId val="77845363"/>
      </c:barChart>
      <c:catAx>
        <c:axId val="731740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Proveedor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845363"/>
        <c:crosses val="autoZero"/>
        <c:auto val="1"/>
        <c:lblAlgn val="ctr"/>
        <c:lblOffset val="100"/>
        <c:noMultiLvlLbl val="0"/>
      </c:catAx>
      <c:valAx>
        <c:axId val="778453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Monto (DOP)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1740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41400</xdr:rowOff>
    </xdr:from>
    <xdr:to>
      <xdr:col>3</xdr:col>
      <xdr:colOff>559080</xdr:colOff>
      <xdr:row>35</xdr:row>
      <xdr:rowOff>21600</xdr:rowOff>
    </xdr:to>
    <xdr:graphicFrame>
      <xdr:nvGraphicFramePr>
        <xdr:cNvPr id="0" name="Chart 1"/>
        <xdr:cNvGraphicFramePr/>
      </xdr:nvGraphicFramePr>
      <xdr:xfrm>
        <a:off x="0" y="390528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5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3"/>
      <c r="C4" s="3"/>
      <c r="E4" s="3" t="s">
        <v>3</v>
      </c>
      <c r="F4" s="3"/>
    </row>
    <row r="5" customFormat="false" ht="22.05" hidden="false" customHeight="false" outlineLevel="0" collapsed="false">
      <c r="A5" s="4" t="n">
        <f aca="false">'Detalle de Cuentas por Pagar'!D32</f>
        <v>694997.57</v>
      </c>
      <c r="B5" s="4"/>
      <c r="C5" s="4"/>
      <c r="E5" s="5" t="n">
        <f aca="false">COUNTA(A5:A30)</f>
        <v>11</v>
      </c>
      <c r="F5" s="5"/>
    </row>
    <row r="7" customFormat="false" ht="24.75" hidden="false" customHeight="true" outlineLevel="0" collapsed="false">
      <c r="A7" s="6" t="s">
        <v>4</v>
      </c>
      <c r="B7" s="6" t="s">
        <v>5</v>
      </c>
      <c r="C7" s="6" t="s">
        <v>6</v>
      </c>
      <c r="D7" s="6" t="s">
        <v>7</v>
      </c>
      <c r="E7" s="6" t="s">
        <v>8</v>
      </c>
    </row>
    <row r="8" customFormat="false" ht="19.5" hidden="false" customHeight="true" outlineLevel="0" collapsed="false">
      <c r="A8" s="7" t="s">
        <v>9</v>
      </c>
      <c r="B8" s="8" t="n">
        <f aca="false">COUNTIF('Detalle de Cuentas por Pagar'!A$5:A$23, A8)</f>
        <v>6</v>
      </c>
      <c r="C8" s="9" t="n">
        <f aca="false">SUMIF('Detalle de Cuentas por Pagar'!A$5:A$23, A8, 'Detalle de Cuentas por Pagar'!D$5:D$23)</f>
        <v>109994.6</v>
      </c>
      <c r="D8" s="10" t="n">
        <f aca="false">C8/C16</f>
        <v>0.233617605403509</v>
      </c>
      <c r="E8" s="8" t="s">
        <v>10</v>
      </c>
    </row>
    <row r="9" customFormat="false" ht="19.5" hidden="false" customHeight="true" outlineLevel="0" collapsed="false">
      <c r="A9" s="11" t="s">
        <v>11</v>
      </c>
      <c r="B9" s="12" t="n">
        <f aca="false">COUNTIF('Detalle de Cuentas por Pagar'!A$5:A$23, A9)</f>
        <v>7</v>
      </c>
      <c r="C9" s="13" t="n">
        <f aca="false">SUMIF('Detalle de Cuentas por Pagar'!A$5:A$23, A9, 'Detalle de Cuentas por Pagar'!D$5:D$23)</f>
        <v>148166.5</v>
      </c>
      <c r="D9" s="14" t="n">
        <f aca="false">C9/C16</f>
        <v>0.314690929654902</v>
      </c>
      <c r="E9" s="12" t="s">
        <v>10</v>
      </c>
    </row>
    <row r="10" customFormat="false" ht="19.5" hidden="false" customHeight="true" outlineLevel="0" collapsed="false">
      <c r="A10" s="7" t="s">
        <v>12</v>
      </c>
      <c r="B10" s="8" t="n">
        <f aca="false">COUNTIF('Detalle de Cuentas por Pagar'!A$5:A$23, A10)</f>
        <v>1</v>
      </c>
      <c r="C10" s="9" t="n">
        <f aca="false">SUMIF('Detalle de Cuentas por Pagar'!A$5:A$23, A10, 'Detalle de Cuentas por Pagar'!D$5:D$23)</f>
        <v>27050</v>
      </c>
      <c r="D10" s="10" t="n">
        <f aca="false">C10/C16</f>
        <v>0.0574515133121528</v>
      </c>
      <c r="E10" s="8" t="s">
        <v>10</v>
      </c>
    </row>
    <row r="11" customFormat="false" ht="19.5" hidden="false" customHeight="true" outlineLevel="0" collapsed="false">
      <c r="A11" s="11" t="s">
        <v>13</v>
      </c>
      <c r="B11" s="12" t="n">
        <f aca="false">COUNTIF('Detalle de Cuentas por Pagar'!A$5:A$23, A11)</f>
        <v>1</v>
      </c>
      <c r="C11" s="13" t="n">
        <f aca="false">SUMIF('Detalle de Cuentas por Pagar'!A$5:A$23, A11, 'Detalle de Cuentas por Pagar'!D$5:D$23)</f>
        <v>9337.26</v>
      </c>
      <c r="D11" s="14" t="n">
        <f aca="false">C11/C16</f>
        <v>0.0198314128350844</v>
      </c>
      <c r="E11" s="12" t="s">
        <v>10</v>
      </c>
    </row>
    <row r="12" customFormat="false" ht="19.5" hidden="false" customHeight="true" outlineLevel="0" collapsed="false">
      <c r="A12" s="7" t="s">
        <v>14</v>
      </c>
      <c r="B12" s="8" t="n">
        <f aca="false">COUNTIF('Detalle de Cuentas por Pagar'!A$5:A$23, A12)</f>
        <v>1</v>
      </c>
      <c r="C12" s="9" t="n">
        <f aca="false">SUMIF('Detalle de Cuentas por Pagar'!A$5:A$23, A12, 'Detalle de Cuentas por Pagar'!D$5:D$23)</f>
        <v>5380</v>
      </c>
      <c r="D12" s="10" t="n">
        <f aca="false">C12/C16</f>
        <v>0.0114265856421213</v>
      </c>
      <c r="E12" s="8" t="s">
        <v>10</v>
      </c>
    </row>
    <row r="13" customFormat="false" ht="19.5" hidden="false" customHeight="true" outlineLevel="0" collapsed="false">
      <c r="A13" s="11" t="s">
        <v>15</v>
      </c>
      <c r="B13" s="12" t="n">
        <f aca="false">COUNTIF('Detalle de Cuentas por Pagar'!A$5:A$23, A13)</f>
        <v>1</v>
      </c>
      <c r="C13" s="13" t="n">
        <f aca="false">SUMIF('Detalle de Cuentas por Pagar'!A$5:A$23, A13, 'Detalle de Cuentas por Pagar'!D$5:D$23)</f>
        <v>58385.55</v>
      </c>
      <c r="D13" s="14" t="n">
        <f aca="false">C13/C16</f>
        <v>0.124005109170513</v>
      </c>
      <c r="E13" s="12" t="s">
        <v>10</v>
      </c>
    </row>
    <row r="14" customFormat="false" ht="19.5" hidden="false" customHeight="true" outlineLevel="0" collapsed="false">
      <c r="A14" s="7" t="s">
        <v>16</v>
      </c>
      <c r="B14" s="8" t="n">
        <f aca="false">COUNTIF('Detalle de Cuentas por Pagar'!A$5:A$23, A14)</f>
        <v>1</v>
      </c>
      <c r="C14" s="9" t="n">
        <f aca="false">SUMIF('Detalle de Cuentas por Pagar'!A$5:A$23, A14, 'Detalle de Cuentas por Pagar'!D$5:D$23)</f>
        <v>46197.9</v>
      </c>
      <c r="D14" s="10" t="n">
        <f aca="false">C14/C16</f>
        <v>0.0981197510847876</v>
      </c>
      <c r="E14" s="8" t="s">
        <v>10</v>
      </c>
    </row>
    <row r="15" customFormat="false" ht="19.5" hidden="false" customHeight="true" outlineLevel="0" collapsed="false">
      <c r="A15" s="11" t="s">
        <v>17</v>
      </c>
      <c r="B15" s="12" t="n">
        <f aca="false">COUNTIF('Detalle de Cuentas por Pagar'!A$5:A$23, A15)</f>
        <v>1</v>
      </c>
      <c r="C15" s="13" t="n">
        <f aca="false">SUMIF('Detalle de Cuentas por Pagar'!A$5:A$23, A15, 'Detalle de Cuentas por Pagar'!D$5:D$23)</f>
        <v>66320</v>
      </c>
      <c r="D15" s="14" t="n">
        <f aca="false">C15/C16</f>
        <v>0.140857092896931</v>
      </c>
      <c r="E15" s="12" t="s">
        <v>18</v>
      </c>
    </row>
    <row r="16" customFormat="false" ht="21.75" hidden="false" customHeight="true" outlineLevel="0" collapsed="false">
      <c r="A16" s="15" t="s">
        <v>19</v>
      </c>
      <c r="B16" s="16" t="n">
        <f aca="false">SUM(B8:B15)</f>
        <v>19</v>
      </c>
      <c r="C16" s="17" t="n">
        <f aca="false">SUM(C8:C15)</f>
        <v>470831.81</v>
      </c>
      <c r="D16" s="18" t="n">
        <f aca="false">SUM(D8:D15)</f>
        <v>1</v>
      </c>
      <c r="E16" s="19"/>
    </row>
  </sheetData>
  <mergeCells count="6">
    <mergeCell ref="A1:E1"/>
    <mergeCell ref="A2:E2"/>
    <mergeCell ref="A4:C4"/>
    <mergeCell ref="E4:F4"/>
    <mergeCell ref="A5:C5"/>
    <mergeCell ref="E5:F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D24" activeCellId="0" sqref="D2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5" min="5" style="0" width="15"/>
    <col collapsed="false" customWidth="true" hidden="false" outlineLevel="0" max="6" min="6" style="0" width="32"/>
  </cols>
  <sheetData>
    <row r="1" customFormat="false" ht="19.7" hidden="false" customHeight="false" outlineLevel="0" collapsed="false">
      <c r="A1" s="20" t="s">
        <v>20</v>
      </c>
      <c r="B1" s="20"/>
      <c r="C1" s="20"/>
      <c r="D1" s="20"/>
      <c r="E1" s="20"/>
      <c r="F1" s="20"/>
    </row>
    <row r="2" customFormat="false" ht="15" hidden="false" customHeight="false" outlineLevel="0" collapsed="false">
      <c r="A2" s="2" t="s">
        <v>21</v>
      </c>
      <c r="B2" s="2"/>
      <c r="C2" s="2"/>
      <c r="D2" s="2"/>
      <c r="E2" s="2"/>
      <c r="F2" s="2"/>
    </row>
    <row r="4" customFormat="false" ht="24.75" hidden="false" customHeight="true" outlineLevel="0" collapsed="false">
      <c r="A4" s="6" t="s">
        <v>4</v>
      </c>
      <c r="B4" s="6" t="s">
        <v>22</v>
      </c>
      <c r="C4" s="6" t="s">
        <v>23</v>
      </c>
      <c r="D4" s="6" t="s">
        <v>24</v>
      </c>
      <c r="E4" s="6" t="s">
        <v>25</v>
      </c>
      <c r="F4" s="6" t="s">
        <v>26</v>
      </c>
    </row>
    <row r="5" customFormat="false" ht="19.5" hidden="false" customHeight="true" outlineLevel="0" collapsed="false">
      <c r="A5" s="7" t="s">
        <v>9</v>
      </c>
      <c r="B5" s="8" t="s">
        <v>27</v>
      </c>
      <c r="C5" s="8" t="s">
        <v>28</v>
      </c>
      <c r="D5" s="9" t="n">
        <v>3608.4</v>
      </c>
      <c r="E5" s="8" t="s">
        <v>10</v>
      </c>
      <c r="F5" s="7" t="s">
        <v>29</v>
      </c>
    </row>
    <row r="6" customFormat="false" ht="19.5" hidden="false" customHeight="true" outlineLevel="0" collapsed="false">
      <c r="A6" s="11" t="s">
        <v>9</v>
      </c>
      <c r="B6" s="12" t="s">
        <v>27</v>
      </c>
      <c r="C6" s="12" t="s">
        <v>28</v>
      </c>
      <c r="D6" s="13" t="n">
        <v>7840</v>
      </c>
      <c r="E6" s="12" t="s">
        <v>10</v>
      </c>
      <c r="F6" s="11" t="s">
        <v>30</v>
      </c>
    </row>
    <row r="7" customFormat="false" ht="19.5" hidden="false" customHeight="true" outlineLevel="0" collapsed="false">
      <c r="A7" s="7" t="s">
        <v>9</v>
      </c>
      <c r="B7" s="8" t="s">
        <v>31</v>
      </c>
      <c r="C7" s="8" t="s">
        <v>32</v>
      </c>
      <c r="D7" s="9" t="n">
        <v>23498.2</v>
      </c>
      <c r="E7" s="8" t="s">
        <v>10</v>
      </c>
      <c r="F7" s="7" t="s">
        <v>33</v>
      </c>
    </row>
    <row r="8" customFormat="false" ht="19.5" hidden="false" customHeight="true" outlineLevel="0" collapsed="false">
      <c r="A8" s="11" t="s">
        <v>9</v>
      </c>
      <c r="B8" s="12" t="s">
        <v>31</v>
      </c>
      <c r="C8" s="12" t="s">
        <v>32</v>
      </c>
      <c r="D8" s="13" t="n">
        <v>30064</v>
      </c>
      <c r="E8" s="12" t="s">
        <v>10</v>
      </c>
      <c r="F8" s="11" t="s">
        <v>30</v>
      </c>
    </row>
    <row r="9" customFormat="false" ht="19.5" hidden="false" customHeight="true" outlineLevel="0" collapsed="false">
      <c r="A9" s="7" t="s">
        <v>9</v>
      </c>
      <c r="B9" s="8" t="s">
        <v>34</v>
      </c>
      <c r="C9" s="8" t="s">
        <v>35</v>
      </c>
      <c r="D9" s="9" t="n">
        <v>16960</v>
      </c>
      <c r="E9" s="8" t="s">
        <v>10</v>
      </c>
      <c r="F9" s="7" t="s">
        <v>36</v>
      </c>
    </row>
    <row r="10" customFormat="false" ht="19.5" hidden="false" customHeight="true" outlineLevel="0" collapsed="false">
      <c r="A10" s="11" t="s">
        <v>9</v>
      </c>
      <c r="B10" s="12" t="s">
        <v>34</v>
      </c>
      <c r="C10" s="12" t="s">
        <v>35</v>
      </c>
      <c r="D10" s="13" t="n">
        <v>28024</v>
      </c>
      <c r="E10" s="12" t="s">
        <v>10</v>
      </c>
      <c r="F10" s="11" t="s">
        <v>30</v>
      </c>
    </row>
    <row r="11" customFormat="false" ht="19.5" hidden="false" customHeight="true" outlineLevel="0" collapsed="false">
      <c r="A11" s="7" t="s">
        <v>11</v>
      </c>
      <c r="B11" s="8" t="s">
        <v>31</v>
      </c>
      <c r="C11" s="8" t="s">
        <v>37</v>
      </c>
      <c r="D11" s="9" t="n">
        <v>15057</v>
      </c>
      <c r="E11" s="8" t="s">
        <v>10</v>
      </c>
      <c r="F11" s="7" t="s">
        <v>38</v>
      </c>
    </row>
    <row r="12" customFormat="false" ht="19.5" hidden="false" customHeight="true" outlineLevel="0" collapsed="false">
      <c r="A12" s="11" t="s">
        <v>11</v>
      </c>
      <c r="B12" s="12" t="s">
        <v>34</v>
      </c>
      <c r="C12" s="12" t="s">
        <v>37</v>
      </c>
      <c r="D12" s="13" t="n">
        <v>17441</v>
      </c>
      <c r="E12" s="12" t="s">
        <v>10</v>
      </c>
      <c r="F12" s="11" t="s">
        <v>38</v>
      </c>
    </row>
    <row r="13" customFormat="false" ht="19.5" hidden="false" customHeight="true" outlineLevel="0" collapsed="false">
      <c r="A13" s="7" t="s">
        <v>11</v>
      </c>
      <c r="B13" s="8" t="s">
        <v>39</v>
      </c>
      <c r="C13" s="8" t="s">
        <v>37</v>
      </c>
      <c r="D13" s="9" t="n">
        <v>23064</v>
      </c>
      <c r="E13" s="8" t="s">
        <v>10</v>
      </c>
      <c r="F13" s="7" t="s">
        <v>40</v>
      </c>
    </row>
    <row r="14" customFormat="false" ht="19.5" hidden="false" customHeight="true" outlineLevel="0" collapsed="false">
      <c r="A14" s="11" t="s">
        <v>11</v>
      </c>
      <c r="B14" s="12" t="s">
        <v>41</v>
      </c>
      <c r="C14" s="12" t="s">
        <v>37</v>
      </c>
      <c r="D14" s="13" t="n">
        <v>23452</v>
      </c>
      <c r="E14" s="12" t="s">
        <v>10</v>
      </c>
      <c r="F14" s="11" t="s">
        <v>40</v>
      </c>
    </row>
    <row r="15" customFormat="false" ht="19.5" hidden="false" customHeight="true" outlineLevel="0" collapsed="false">
      <c r="A15" s="7" t="s">
        <v>11</v>
      </c>
      <c r="B15" s="8" t="s">
        <v>42</v>
      </c>
      <c r="C15" s="8" t="s">
        <v>37</v>
      </c>
      <c r="D15" s="9" t="n">
        <v>31617.5</v>
      </c>
      <c r="E15" s="8" t="s">
        <v>10</v>
      </c>
      <c r="F15" s="7" t="s">
        <v>40</v>
      </c>
    </row>
    <row r="16" customFormat="false" ht="19.5" hidden="false" customHeight="true" outlineLevel="0" collapsed="false">
      <c r="A16" s="11" t="s">
        <v>11</v>
      </c>
      <c r="B16" s="12" t="s">
        <v>43</v>
      </c>
      <c r="C16" s="12" t="s">
        <v>37</v>
      </c>
      <c r="D16" s="13" t="n">
        <v>18099</v>
      </c>
      <c r="E16" s="12" t="s">
        <v>10</v>
      </c>
      <c r="F16" s="11" t="s">
        <v>44</v>
      </c>
    </row>
    <row r="17" customFormat="false" ht="19.5" hidden="false" customHeight="true" outlineLevel="0" collapsed="false">
      <c r="A17" s="7" t="s">
        <v>11</v>
      </c>
      <c r="B17" s="8" t="s">
        <v>45</v>
      </c>
      <c r="C17" s="8" t="s">
        <v>37</v>
      </c>
      <c r="D17" s="9" t="n">
        <v>19436</v>
      </c>
      <c r="E17" s="8" t="s">
        <v>10</v>
      </c>
      <c r="F17" s="7" t="s">
        <v>44</v>
      </c>
    </row>
    <row r="18" customFormat="false" ht="19.5" hidden="false" customHeight="true" outlineLevel="0" collapsed="false">
      <c r="A18" s="11" t="s">
        <v>12</v>
      </c>
      <c r="B18" s="12" t="s">
        <v>34</v>
      </c>
      <c r="C18" s="12" t="s">
        <v>46</v>
      </c>
      <c r="D18" s="13" t="n">
        <v>27050</v>
      </c>
      <c r="E18" s="12" t="s">
        <v>10</v>
      </c>
      <c r="F18" s="11" t="s">
        <v>38</v>
      </c>
    </row>
    <row r="19" customFormat="false" ht="19.5" hidden="false" customHeight="true" outlineLevel="0" collapsed="false">
      <c r="A19" s="7" t="s">
        <v>13</v>
      </c>
      <c r="B19" s="8" t="s">
        <v>31</v>
      </c>
      <c r="C19" s="8" t="s">
        <v>37</v>
      </c>
      <c r="D19" s="9" t="n">
        <v>9337.26</v>
      </c>
      <c r="E19" s="8" t="s">
        <v>10</v>
      </c>
      <c r="F19" s="7" t="s">
        <v>38</v>
      </c>
    </row>
    <row r="20" customFormat="false" ht="19.5" hidden="false" customHeight="true" outlineLevel="0" collapsed="false">
      <c r="A20" s="11" t="s">
        <v>14</v>
      </c>
      <c r="B20" s="12" t="s">
        <v>27</v>
      </c>
      <c r="C20" s="12" t="s">
        <v>37</v>
      </c>
      <c r="D20" s="13" t="n">
        <v>5380</v>
      </c>
      <c r="E20" s="12" t="s">
        <v>10</v>
      </c>
      <c r="F20" s="11" t="s">
        <v>38</v>
      </c>
    </row>
    <row r="21" customFormat="false" ht="19.5" hidden="false" customHeight="true" outlineLevel="0" collapsed="false">
      <c r="A21" s="7" t="s">
        <v>15</v>
      </c>
      <c r="B21" s="8" t="s">
        <v>31</v>
      </c>
      <c r="C21" s="8" t="s">
        <v>37</v>
      </c>
      <c r="D21" s="9" t="n">
        <v>58385.55</v>
      </c>
      <c r="E21" s="8" t="s">
        <v>10</v>
      </c>
      <c r="F21" s="7" t="s">
        <v>38</v>
      </c>
    </row>
    <row r="22" customFormat="false" ht="19.5" hidden="false" customHeight="true" outlineLevel="0" collapsed="false">
      <c r="A22" s="11" t="s">
        <v>16</v>
      </c>
      <c r="B22" s="12" t="s">
        <v>31</v>
      </c>
      <c r="C22" s="12" t="s">
        <v>37</v>
      </c>
      <c r="D22" s="13" t="n">
        <v>46197.9</v>
      </c>
      <c r="E22" s="12" t="s">
        <v>10</v>
      </c>
      <c r="F22" s="11" t="s">
        <v>38</v>
      </c>
    </row>
    <row r="23" customFormat="false" ht="19.5" hidden="false" customHeight="true" outlineLevel="0" collapsed="false">
      <c r="A23" s="7" t="s">
        <v>17</v>
      </c>
      <c r="B23" s="8" t="s">
        <v>34</v>
      </c>
      <c r="C23" s="8" t="s">
        <v>37</v>
      </c>
      <c r="D23" s="9" t="n">
        <v>66320</v>
      </c>
      <c r="E23" s="8" t="s">
        <v>47</v>
      </c>
      <c r="F23" s="7" t="s">
        <v>48</v>
      </c>
    </row>
    <row r="24" customFormat="false" ht="21.75" hidden="false" customHeight="true" outlineLevel="0" collapsed="false">
      <c r="A24" s="21"/>
      <c r="B24" s="19"/>
      <c r="C24" s="19"/>
      <c r="D24" s="17"/>
      <c r="E24" s="19"/>
      <c r="F24" s="19"/>
    </row>
    <row r="25" customFormat="false" ht="15" hidden="false" customHeight="false" outlineLevel="0" collapsed="false">
      <c r="A25" s="0" t="s">
        <v>49</v>
      </c>
      <c r="B25" s="0" t="s">
        <v>37</v>
      </c>
      <c r="C25" s="0" t="s">
        <v>37</v>
      </c>
      <c r="D25" s="22" t="n">
        <v>5375</v>
      </c>
      <c r="E25" s="23" t="s">
        <v>50</v>
      </c>
      <c r="F25" s="23" t="s">
        <v>51</v>
      </c>
    </row>
    <row r="26" customFormat="false" ht="15" hidden="false" customHeight="false" outlineLevel="0" collapsed="false">
      <c r="A26" s="0" t="s">
        <v>37</v>
      </c>
      <c r="B26" s="24" t="n">
        <v>46268</v>
      </c>
      <c r="C26" s="23" t="s">
        <v>37</v>
      </c>
      <c r="D26" s="22" t="n">
        <v>5700</v>
      </c>
      <c r="E26" s="23" t="s">
        <v>10</v>
      </c>
      <c r="F26" s="23" t="s">
        <v>52</v>
      </c>
    </row>
    <row r="27" customFormat="false" ht="15" hidden="false" customHeight="false" outlineLevel="0" collapsed="false">
      <c r="A27" s="0" t="s">
        <v>53</v>
      </c>
      <c r="B27" s="24" t="n">
        <v>46268</v>
      </c>
      <c r="C27" s="24" t="n">
        <v>46298</v>
      </c>
      <c r="D27" s="22" t="n">
        <v>24471</v>
      </c>
      <c r="E27" s="23" t="s">
        <v>54</v>
      </c>
      <c r="F27" s="23" t="s">
        <v>55</v>
      </c>
    </row>
    <row r="28" customFormat="false" ht="15" hidden="false" customHeight="false" outlineLevel="0" collapsed="false">
      <c r="A28" s="0" t="s">
        <v>56</v>
      </c>
      <c r="B28" s="24" t="n">
        <v>46269</v>
      </c>
      <c r="C28" s="24" t="n">
        <v>46284</v>
      </c>
      <c r="D28" s="22" t="n">
        <v>182800</v>
      </c>
      <c r="E28" s="23" t="s">
        <v>54</v>
      </c>
      <c r="F28" s="23" t="s">
        <v>55</v>
      </c>
    </row>
    <row r="29" customFormat="false" ht="15" hidden="false" customHeight="false" outlineLevel="0" collapsed="false">
      <c r="A29" s="25" t="s">
        <v>57</v>
      </c>
      <c r="B29" s="23" t="s">
        <v>37</v>
      </c>
      <c r="C29" s="23" t="s">
        <v>37</v>
      </c>
      <c r="D29" s="22" t="n">
        <v>5819.76</v>
      </c>
      <c r="E29" s="23" t="s">
        <v>54</v>
      </c>
      <c r="F29" s="23" t="s">
        <v>54</v>
      </c>
    </row>
    <row r="30" customFormat="false" ht="15" hidden="false" customHeight="false" outlineLevel="0" collapsed="false">
      <c r="A30" s="0" t="s">
        <v>58</v>
      </c>
      <c r="B30" s="0" t="s">
        <v>37</v>
      </c>
      <c r="C30" s="0" t="s">
        <v>37</v>
      </c>
      <c r="D30" s="22" t="n">
        <v>28976</v>
      </c>
      <c r="E30" s="23" t="s">
        <v>51</v>
      </c>
      <c r="F30" s="23" t="s">
        <v>59</v>
      </c>
    </row>
    <row r="31" customFormat="false" ht="15" hidden="false" customHeight="false" outlineLevel="0" collapsed="false">
      <c r="A31" s="26" t="s">
        <v>19</v>
      </c>
      <c r="B31" s="26"/>
      <c r="C31" s="26"/>
      <c r="D31" s="26"/>
      <c r="E31" s="26"/>
      <c r="F31" s="26"/>
    </row>
    <row r="32" customFormat="false" ht="15" hidden="false" customHeight="false" outlineLevel="0" collapsed="false">
      <c r="A32" s="26"/>
      <c r="B32" s="26"/>
      <c r="C32" s="26"/>
      <c r="D32" s="27" t="n">
        <f aca="false">SUM(D5:D29)</f>
        <v>694997.57</v>
      </c>
      <c r="E32" s="26"/>
      <c r="F32" s="26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2026-09-10T16:24:30Z</dcterms:created>
  <dc:creator>openpyxl</dc:creator>
  <dc:description/>
  <dc:language>en-US</dc:language>
  <cp:lastModifiedBy/>
  <dcterms:modified xsi:type="dcterms:W3CDTF">2026-09-11T11:01:45Z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