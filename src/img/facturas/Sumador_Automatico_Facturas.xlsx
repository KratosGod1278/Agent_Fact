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os" sheetId="1" state="visible" r:id="rId3"/>
    <sheet name="Todas las combinaciones" sheetId="2" state="visible" r:id="rId4"/>
    <sheet name="Ejemplo" sheetId="3" state="visible" r:id="rId5"/>
  </sheets>
  <definedNames>
    <definedName function="false" hidden="true" localSheetId="1" name="_xlnm._FilterDatabase" vbProcedure="false">'Todas las combinaciones'!$A$3:$C$165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<sst xmlns="http://schemas.openxmlformats.org/spreadsheetml/2006/main" count="204" uniqueCount="180">
  <si>
    <t xml:space="preserve">SUMADOR AUTOMÁTICO DE FACTURAS</t>
  </si>
  <si>
    <t xml:space="preserve">Factura</t>
  </si>
  <si>
    <t xml:space="preserve">Monto (RD$)</t>
  </si>
  <si>
    <t xml:space="preserve">Seleccionar (Sí/No)</t>
  </si>
  <si>
    <t xml:space="preserve">Fact1</t>
  </si>
  <si>
    <t xml:space="preserve">Sí</t>
  </si>
  <si>
    <t xml:space="preserve">Fact2</t>
  </si>
  <si>
    <t xml:space="preserve">Fact3</t>
  </si>
  <si>
    <t xml:space="preserve">Fact4</t>
  </si>
  <si>
    <t xml:space="preserve">Fact5</t>
  </si>
  <si>
    <t xml:space="preserve">No</t>
  </si>
  <si>
    <t xml:space="preserve">Fact6</t>
  </si>
  <si>
    <t xml:space="preserve">Fact7</t>
  </si>
  <si>
    <t xml:space="preserve">Fact8</t>
  </si>
  <si>
    <t xml:space="preserve">TOTAL DE LAS FACTURAS SELECCIONADAS:</t>
  </si>
  <si>
    <t xml:space="preserve">INSTRUCCIONES</t>
  </si>
  <si>
    <t xml:space="preserve">1. Escribe los montos de las facturas en la columna B.</t>
  </si>
  <si>
    <t xml:space="preserve">2. En la columna C selecciona Sí para las facturas que se pagarán juntas.</t>
  </si>
  <si>
    <t xml:space="preserve">3. El TOTAL se calcula automáticamente.</t>
  </si>
  <si>
    <t xml:space="preserve">4. Puedes seleccionar de 1 a 4 facturas (o más si algún día lo necesitas).</t>
  </si>
  <si>
    <t xml:space="preserve">COMBINACIONES AUTOMÁTICAS (1 A 4 FACTURAS)</t>
  </si>
  <si>
    <t xml:space="preserve">Cantidad</t>
  </si>
  <si>
    <t xml:space="preserve">Facturas</t>
  </si>
  <si>
    <t xml:space="preserve">Total (RD$)</t>
  </si>
  <si>
    <t xml:space="preserve">Fact1 + Fact2</t>
  </si>
  <si>
    <t xml:space="preserve">Fact1 + Fact3</t>
  </si>
  <si>
    <t xml:space="preserve">Fact1 + Fact4</t>
  </si>
  <si>
    <t xml:space="preserve">Fact1 + Fact5</t>
  </si>
  <si>
    <t xml:space="preserve">Fact1 + Fact6</t>
  </si>
  <si>
    <t xml:space="preserve">Fact1 + Fact7</t>
  </si>
  <si>
    <t xml:space="preserve">Fact1 + Fact8</t>
  </si>
  <si>
    <t xml:space="preserve">Fact2 + Fact3</t>
  </si>
  <si>
    <t xml:space="preserve">Fact2 + Fact4</t>
  </si>
  <si>
    <t xml:space="preserve">Fact2 + Fact5</t>
  </si>
  <si>
    <t xml:space="preserve">Fact2 + Fact6</t>
  </si>
  <si>
    <t xml:space="preserve">Fact2 + Fact7</t>
  </si>
  <si>
    <t xml:space="preserve">Fact2 + Fact8</t>
  </si>
  <si>
    <t xml:space="preserve">Fact3 + Fact4</t>
  </si>
  <si>
    <t xml:space="preserve">Fact3 + Fact5</t>
  </si>
  <si>
    <t xml:space="preserve">Fact3 + Fact6</t>
  </si>
  <si>
    <t xml:space="preserve">Fact3 + Fact7</t>
  </si>
  <si>
    <t xml:space="preserve">Fact3 + Fact8</t>
  </si>
  <si>
    <t xml:space="preserve">Fact4 + Fact5</t>
  </si>
  <si>
    <t xml:space="preserve">Fact4 + Fact6</t>
  </si>
  <si>
    <t xml:space="preserve">Fact4 + Fact7</t>
  </si>
  <si>
    <t xml:space="preserve">Fact4 + Fact8</t>
  </si>
  <si>
    <t xml:space="preserve">Fact5 + Fact6</t>
  </si>
  <si>
    <t xml:space="preserve">Fact5 + Fact7</t>
  </si>
  <si>
    <t xml:space="preserve">Fact5 + Fact8</t>
  </si>
  <si>
    <t xml:space="preserve">Fact6 + Fact7</t>
  </si>
  <si>
    <t xml:space="preserve">Fact6 + Fact8</t>
  </si>
  <si>
    <t xml:space="preserve">Fact7 + Fact8</t>
  </si>
  <si>
    <t xml:space="preserve">Fact1 + Fact2 + Fact3</t>
  </si>
  <si>
    <t xml:space="preserve">Fact1 + Fact2 + Fact4</t>
  </si>
  <si>
    <t xml:space="preserve">Fact1 + Fact2 + Fact5</t>
  </si>
  <si>
    <t xml:space="preserve">Fact1 + Fact2 + Fact6</t>
  </si>
  <si>
    <t xml:space="preserve">Fact1 + Fact2 + Fact7</t>
  </si>
  <si>
    <t xml:space="preserve">Fact1 + Fact2 + Fact8</t>
  </si>
  <si>
    <t xml:space="preserve">Fact1 + Fact3 + Fact4</t>
  </si>
  <si>
    <t xml:space="preserve">Fact1 + Fact3 + Fact5</t>
  </si>
  <si>
    <t xml:space="preserve">Fact1 + Fact3 + Fact6</t>
  </si>
  <si>
    <t xml:space="preserve">Fact1 + Fact3 + Fact7</t>
  </si>
  <si>
    <t xml:space="preserve">Fact1 + Fact3 + Fact8</t>
  </si>
  <si>
    <t xml:space="preserve">Fact1 + Fact4 + Fact5</t>
  </si>
  <si>
    <t xml:space="preserve">Fact1 + Fact4 + Fact6</t>
  </si>
  <si>
    <t xml:space="preserve">Fact1 + Fact4 + Fact7</t>
  </si>
  <si>
    <t xml:space="preserve">Fact1 + Fact4 + Fact8</t>
  </si>
  <si>
    <t xml:space="preserve">Fact1 + Fact5 + Fact6</t>
  </si>
  <si>
    <t xml:space="preserve">Fact1 + Fact5 + Fact7</t>
  </si>
  <si>
    <t xml:space="preserve">Fact1 + Fact5 + Fact8</t>
  </si>
  <si>
    <t xml:space="preserve">Fact1 + Fact6 + Fact7</t>
  </si>
  <si>
    <t xml:space="preserve">Fact1 + Fact6 + Fact8</t>
  </si>
  <si>
    <t xml:space="preserve">Fact1 + Fact7 + Fact8</t>
  </si>
  <si>
    <t xml:space="preserve">Fact2 + Fact3 + Fact4</t>
  </si>
  <si>
    <t xml:space="preserve">Fact2 + Fact3 + Fact5</t>
  </si>
  <si>
    <t xml:space="preserve">Fact2 + Fact3 + Fact6</t>
  </si>
  <si>
    <t xml:space="preserve">Fact2 + Fact3 + Fact7</t>
  </si>
  <si>
    <t xml:space="preserve">Fact2 + Fact3 + Fact8</t>
  </si>
  <si>
    <t xml:space="preserve">Fact2 + Fact4 + Fact5</t>
  </si>
  <si>
    <t xml:space="preserve">Fact2 + Fact4 + Fact6</t>
  </si>
  <si>
    <t xml:space="preserve">Fact2 + Fact4 + Fact7</t>
  </si>
  <si>
    <t xml:space="preserve">Fact2 + Fact4 + Fact8</t>
  </si>
  <si>
    <t xml:space="preserve">Fact2 + Fact5 + Fact6</t>
  </si>
  <si>
    <t xml:space="preserve">Fact2 + Fact5 + Fact7</t>
  </si>
  <si>
    <t xml:space="preserve">Fact2 + Fact5 + Fact8</t>
  </si>
  <si>
    <t xml:space="preserve">Fact2 + Fact6 + Fact7</t>
  </si>
  <si>
    <t xml:space="preserve">Fact2 + Fact6 + Fact8</t>
  </si>
  <si>
    <t xml:space="preserve">Fact2 + Fact7 + Fact8</t>
  </si>
  <si>
    <t xml:space="preserve">Fact3 + Fact4 + Fact5</t>
  </si>
  <si>
    <t xml:space="preserve">Fact3 + Fact4 + Fact6</t>
  </si>
  <si>
    <t xml:space="preserve">Fact3 + Fact4 + Fact7</t>
  </si>
  <si>
    <t xml:space="preserve">Fact3 + Fact4 + Fact8</t>
  </si>
  <si>
    <t xml:space="preserve">Fact3 + Fact5 + Fact6</t>
  </si>
  <si>
    <t xml:space="preserve">Fact3 + Fact5 + Fact7</t>
  </si>
  <si>
    <t xml:space="preserve">Fact3 + Fact5 + Fact8</t>
  </si>
  <si>
    <t xml:space="preserve">Fact3 + Fact6 + Fact7</t>
  </si>
  <si>
    <t xml:space="preserve">Fact3 + Fact6 + Fact8</t>
  </si>
  <si>
    <t xml:space="preserve">Fact3 + Fact7 + Fact8</t>
  </si>
  <si>
    <t xml:space="preserve">Fact4 + Fact5 + Fact6</t>
  </si>
  <si>
    <t xml:space="preserve">Fact4 + Fact5 + Fact7</t>
  </si>
  <si>
    <t xml:space="preserve">Fact4 + Fact5 + Fact8</t>
  </si>
  <si>
    <t xml:space="preserve">Fact4 + Fact6 + Fact7</t>
  </si>
  <si>
    <t xml:space="preserve">Fact4 + Fact6 + Fact8</t>
  </si>
  <si>
    <t xml:space="preserve">Fact4 + Fact7 + Fact8</t>
  </si>
  <si>
    <t xml:space="preserve">Fact5 + Fact6 + Fact7</t>
  </si>
  <si>
    <t xml:space="preserve">Fact5 + Fact6 + Fact8</t>
  </si>
  <si>
    <t xml:space="preserve">Fact5 + Fact7 + Fact8</t>
  </si>
  <si>
    <t xml:space="preserve">Fact6 + Fact7 + Fact8</t>
  </si>
  <si>
    <t xml:space="preserve">Fact1 + Fact2 + Fact3 + Fact4</t>
  </si>
  <si>
    <t xml:space="preserve">Fact1 + Fact2 + Fact3 + Fact5</t>
  </si>
  <si>
    <t xml:space="preserve">Fact1 + Fact2 + Fact3 + Fact6</t>
  </si>
  <si>
    <t xml:space="preserve">Fact1 + Fact2 + Fact3 + Fact7</t>
  </si>
  <si>
    <t xml:space="preserve">Fact1 + Fact2 + Fact3 + Fact8</t>
  </si>
  <si>
    <t xml:space="preserve">Fact1 + Fact2 + Fact4 + Fact5</t>
  </si>
  <si>
    <t xml:space="preserve">Fact1 + Fact2 + Fact4 + Fact6</t>
  </si>
  <si>
    <t xml:space="preserve">Fact1 + Fact2 + Fact4 + Fact7</t>
  </si>
  <si>
    <t xml:space="preserve">Fact1 + Fact2 + Fact4 + Fact8</t>
  </si>
  <si>
    <t xml:space="preserve">Fact1 + Fact2 + Fact5 + Fact6</t>
  </si>
  <si>
    <t xml:space="preserve">Fact1 + Fact2 + Fact5 + Fact7</t>
  </si>
  <si>
    <t xml:space="preserve">Fact1 + Fact2 + Fact5 + Fact8</t>
  </si>
  <si>
    <t xml:space="preserve">Fact1 + Fact2 + Fact6 + Fact7</t>
  </si>
  <si>
    <t xml:space="preserve">Fact1 + Fact2 + Fact6 + Fact8</t>
  </si>
  <si>
    <t xml:space="preserve">Fact1 + Fact2 + Fact7 + Fact8</t>
  </si>
  <si>
    <t xml:space="preserve">Fact1 + Fact3 + Fact4 + Fact5</t>
  </si>
  <si>
    <t xml:space="preserve">Fact1 + Fact3 + Fact4 + Fact6</t>
  </si>
  <si>
    <t xml:space="preserve">Fact1 + Fact3 + Fact4 + Fact7</t>
  </si>
  <si>
    <t xml:space="preserve">Fact1 + Fact3 + Fact4 + Fact8</t>
  </si>
  <si>
    <t xml:space="preserve">Fact1 + Fact3 + Fact5 + Fact6</t>
  </si>
  <si>
    <t xml:space="preserve">Fact1 + Fact3 + Fact5 + Fact7</t>
  </si>
  <si>
    <t xml:space="preserve">Fact1 + Fact3 + Fact5 + Fact8</t>
  </si>
  <si>
    <t xml:space="preserve">Fact1 + Fact3 + Fact6 + Fact7</t>
  </si>
  <si>
    <t xml:space="preserve">Fact1 + Fact3 + Fact6 + Fact8</t>
  </si>
  <si>
    <t xml:space="preserve">Fact1 + Fact3 + Fact7 + Fact8</t>
  </si>
  <si>
    <t xml:space="preserve">Fact1 + Fact4 + Fact5 + Fact6</t>
  </si>
  <si>
    <t xml:space="preserve">Fact1 + Fact4 + Fact5 + Fact7</t>
  </si>
  <si>
    <t xml:space="preserve">Fact1 + Fact4 + Fact5 + Fact8</t>
  </si>
  <si>
    <t xml:space="preserve">Fact1 + Fact4 + Fact6 + Fact7</t>
  </si>
  <si>
    <t xml:space="preserve">Fact1 + Fact4 + Fact6 + Fact8</t>
  </si>
  <si>
    <t xml:space="preserve">Fact1 + Fact4 + Fact7 + Fact8</t>
  </si>
  <si>
    <t xml:space="preserve">Fact1 + Fact5 + Fact6 + Fact7</t>
  </si>
  <si>
    <t xml:space="preserve">Fact1 + Fact5 + Fact6 + Fact8</t>
  </si>
  <si>
    <t xml:space="preserve">Fact1 + Fact5 + Fact7 + Fact8</t>
  </si>
  <si>
    <t xml:space="preserve">Fact1 + Fact6 + Fact7 + Fact8</t>
  </si>
  <si>
    <t xml:space="preserve">Fact2 + Fact3 + Fact4 + Fact5</t>
  </si>
  <si>
    <t xml:space="preserve">Fact2 + Fact3 + Fact4 + Fact6</t>
  </si>
  <si>
    <t xml:space="preserve">Fact2 + Fact3 + Fact4 + Fact7</t>
  </si>
  <si>
    <t xml:space="preserve">Fact2 + Fact3 + Fact4 + Fact8</t>
  </si>
  <si>
    <t xml:space="preserve">Fact2 + Fact3 + Fact5 + Fact6</t>
  </si>
  <si>
    <t xml:space="preserve">Fact2 + Fact3 + Fact5 + Fact7</t>
  </si>
  <si>
    <t xml:space="preserve">Fact2 + Fact3 + Fact5 + Fact8</t>
  </si>
  <si>
    <t xml:space="preserve">Fact2 + Fact3 + Fact6 + Fact7</t>
  </si>
  <si>
    <t xml:space="preserve">Fact2 + Fact3 + Fact6 + Fact8</t>
  </si>
  <si>
    <t xml:space="preserve">Fact2 + Fact3 + Fact7 + Fact8</t>
  </si>
  <si>
    <t xml:space="preserve">Fact2 + Fact4 + Fact5 + Fact6</t>
  </si>
  <si>
    <t xml:space="preserve">Fact2 + Fact4 + Fact5 + Fact7</t>
  </si>
  <si>
    <t xml:space="preserve">Fact2 + Fact4 + Fact5 + Fact8</t>
  </si>
  <si>
    <t xml:space="preserve">Fact2 + Fact4 + Fact6 + Fact7</t>
  </si>
  <si>
    <t xml:space="preserve">Fact2 + Fact4 + Fact6 + Fact8</t>
  </si>
  <si>
    <t xml:space="preserve">Fact2 + Fact4 + Fact7 + Fact8</t>
  </si>
  <si>
    <t xml:space="preserve">Fact2 + Fact5 + Fact6 + Fact7</t>
  </si>
  <si>
    <t xml:space="preserve">Fact2 + Fact5 + Fact6 + Fact8</t>
  </si>
  <si>
    <t xml:space="preserve">Fact2 + Fact5 + Fact7 + Fact8</t>
  </si>
  <si>
    <t xml:space="preserve">Fact2 + Fact6 + Fact7 + Fact8</t>
  </si>
  <si>
    <t xml:space="preserve">Fact3 + Fact4 + Fact5 + Fact6</t>
  </si>
  <si>
    <t xml:space="preserve">Fact3 + Fact4 + Fact5 + Fact7</t>
  </si>
  <si>
    <t xml:space="preserve">Fact3 + Fact4 + Fact5 + Fact8</t>
  </si>
  <si>
    <t xml:space="preserve">Fact3 + Fact4 + Fact6 + Fact7</t>
  </si>
  <si>
    <t xml:space="preserve">Fact3 + Fact4 + Fact6 + Fact8</t>
  </si>
  <si>
    <t xml:space="preserve">Fact3 + Fact4 + Fact7 + Fact8</t>
  </si>
  <si>
    <t xml:space="preserve">Fact3 + Fact5 + Fact6 + Fact7</t>
  </si>
  <si>
    <t xml:space="preserve">Fact3 + Fact5 + Fact6 + Fact8</t>
  </si>
  <si>
    <t xml:space="preserve">Fact3 + Fact5 + Fact7 + Fact8</t>
  </si>
  <si>
    <t xml:space="preserve">Fact3 + Fact6 + Fact7 + Fact8</t>
  </si>
  <si>
    <t xml:space="preserve">Fact4 + Fact5 + Fact6 + Fact7</t>
  </si>
  <si>
    <t xml:space="preserve">Fact4 + Fact5 + Fact6 + Fact8</t>
  </si>
  <si>
    <t xml:space="preserve">Fact4 + Fact5 + Fact7 + Fact8</t>
  </si>
  <si>
    <t xml:space="preserve">Fact4 + Fact6 + Fact7 + Fact8</t>
  </si>
  <si>
    <t xml:space="preserve">Fact5 + Fact6 + Fact7 + Fact8</t>
  </si>
  <si>
    <t xml:space="preserve">EJEMPLO CON TUS MONTOS</t>
  </si>
  <si>
    <t xml:space="preserve">Puedes copiar estos montos a la hoja 'Montos' o reemplazarlos.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</si>
</sst>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D$-es-DO]\ 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5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24"/>
  </cols>
  <sheetData>
    <row r="1" customFormat="false" ht="19.7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24839.64</v>
      </c>
      <c r="C4" s="3" t="s">
        <v>5</v>
      </c>
    </row>
    <row r="5" customFormat="false" ht="15" hidden="false" customHeight="false" outlineLevel="0" collapsed="false">
      <c r="A5" s="3" t="s">
        <v>6</v>
      </c>
      <c r="B5" s="4" t="n">
        <v>25310</v>
      </c>
      <c r="C5" s="3" t="s">
        <v>5</v>
      </c>
    </row>
    <row r="6" customFormat="false" ht="15" hidden="false" customHeight="false" outlineLevel="0" collapsed="false">
      <c r="A6" s="3" t="s">
        <v>7</v>
      </c>
      <c r="B6" s="4" t="n">
        <v>4710</v>
      </c>
      <c r="C6" s="3" t="s">
        <v>5</v>
      </c>
    </row>
    <row r="7" customFormat="false" ht="15" hidden="false" customHeight="false" outlineLevel="0" collapsed="false">
      <c r="A7" s="3" t="s">
        <v>8</v>
      </c>
      <c r="B7" s="4" t="n">
        <v>20228</v>
      </c>
      <c r="C7" s="3" t="s">
        <v>5</v>
      </c>
    </row>
    <row r="8" customFormat="false" ht="15" hidden="false" customHeight="false" outlineLevel="0" collapsed="false">
      <c r="A8" s="3" t="s">
        <v>9</v>
      </c>
      <c r="B8" s="4" t="n">
        <v>32439</v>
      </c>
      <c r="C8" s="3" t="s">
        <v>10</v>
      </c>
    </row>
    <row r="9" customFormat="false" ht="15" hidden="false" customHeight="false" outlineLevel="0" collapsed="false">
      <c r="A9" s="3" t="s">
        <v>11</v>
      </c>
      <c r="B9" s="4" t="n">
        <v>22309.54</v>
      </c>
      <c r="C9" s="3" t="s">
        <v>10</v>
      </c>
    </row>
    <row r="10" customFormat="false" ht="15" hidden="false" customHeight="false" outlineLevel="0" collapsed="false">
      <c r="A10" s="3" t="s">
        <v>12</v>
      </c>
      <c r="B10" s="4" t="n">
        <v>19070</v>
      </c>
      <c r="C10" s="3" t="s">
        <v>10</v>
      </c>
    </row>
    <row r="11" customFormat="false" ht="15" hidden="false" customHeight="false" outlineLevel="0" collapsed="false">
      <c r="A11" s="3" t="s">
        <v>13</v>
      </c>
      <c r="B11" s="4" t="n">
        <v>2754</v>
      </c>
      <c r="C11" s="3" t="s">
        <v>10</v>
      </c>
    </row>
    <row r="12" customFormat="false" ht="15" hidden="false" customHeight="false" outlineLevel="0" collapsed="false">
      <c r="A12" s="3"/>
      <c r="B12" s="3"/>
      <c r="C12" s="3"/>
    </row>
    <row r="13" customFormat="false" ht="17.35" hidden="false" customHeight="false" outlineLevel="0" collapsed="false">
      <c r="A13" s="5" t="s">
        <v>14</v>
      </c>
      <c r="B13" s="6" t="n">
        <f aca="false">SUMIF(C4:C11,"Sí",B4:B11)</f>
        <v>75087.64</v>
      </c>
      <c r="C13" s="3"/>
    </row>
    <row r="15" customFormat="false" ht="15" hidden="false" customHeight="false" outlineLevel="0" collapsed="false">
      <c r="A15" s="7" t="s">
        <v>15</v>
      </c>
    </row>
    <row r="16" customFormat="false" ht="15" hidden="false" customHeight="false" outlineLevel="0" collapsed="false">
      <c r="A16" s="0" t="s">
        <v>16</v>
      </c>
    </row>
    <row r="17" customFormat="false" ht="15" hidden="false" customHeight="false" outlineLevel="0" collapsed="false">
      <c r="A17" s="0" t="s">
        <v>17</v>
      </c>
    </row>
    <row r="18" customFormat="false" ht="15" hidden="false" customHeight="false" outlineLevel="0" collapsed="false">
      <c r="A18" s="0" t="s">
        <v>18</v>
      </c>
    </row>
    <row r="19" customFormat="false" ht="15" hidden="false" customHeight="false" outlineLevel="0" collapsed="false">
      <c r="A19" s="0" t="s">
        <v>19</v>
      </c>
    </row>
  </sheetData>
  <mergeCells count="1">
    <mergeCell ref="A1:C1"/>
  </mergeCells>
  <dataValidations count="1">
    <dataValidation allowBlank="false" errorStyle="stop" operator="between" showDropDown="false" showErrorMessage="false" showInputMessage="false" sqref="C4:C11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2"/>
  </cols>
  <sheetData>
    <row r="1" customFormat="false" ht="18.55" hidden="false" customHeight="false" outlineLevel="0" collapsed="false">
      <c r="A1" s="8" t="s">
        <v>20</v>
      </c>
      <c r="B1" s="8"/>
      <c r="C1" s="8"/>
    </row>
    <row r="3" customFormat="false" ht="15" hidden="false" customHeight="false" outlineLevel="0" collapsed="false">
      <c r="A3" s="9" t="s">
        <v>21</v>
      </c>
      <c r="B3" s="9" t="s">
        <v>22</v>
      </c>
      <c r="C3" s="9" t="s">
        <v>23</v>
      </c>
    </row>
    <row r="4" customFormat="false" ht="15" hidden="false" customHeight="false" outlineLevel="0" collapsed="false">
      <c r="A4" s="10" t="n">
        <v>1</v>
      </c>
      <c r="B4" s="10" t="s">
        <v>4</v>
      </c>
      <c r="C4" s="11" t="n">
        <f aca="false">Montos!B4</f>
        <v>24839.64</v>
      </c>
    </row>
    <row r="5" customFormat="false" ht="15" hidden="false" customHeight="false" outlineLevel="0" collapsed="false">
      <c r="A5" s="10" t="n">
        <v>1</v>
      </c>
      <c r="B5" s="10" t="s">
        <v>6</v>
      </c>
      <c r="C5" s="11" t="n">
        <f aca="false">Montos!B5</f>
        <v>25310</v>
      </c>
    </row>
    <row r="6" customFormat="false" ht="15" hidden="false" customHeight="false" outlineLevel="0" collapsed="false">
      <c r="A6" s="10" t="n">
        <v>1</v>
      </c>
      <c r="B6" s="10" t="s">
        <v>7</v>
      </c>
      <c r="C6" s="11" t="n">
        <f aca="false">Montos!B6</f>
        <v>4710</v>
      </c>
    </row>
    <row r="7" customFormat="false" ht="15" hidden="false" customHeight="false" outlineLevel="0" collapsed="false">
      <c r="A7" s="10" t="n">
        <v>1</v>
      </c>
      <c r="B7" s="10" t="s">
        <v>8</v>
      </c>
      <c r="C7" s="11" t="n">
        <f aca="false">Montos!B7</f>
        <v>20228</v>
      </c>
    </row>
    <row r="8" customFormat="false" ht="15" hidden="false" customHeight="false" outlineLevel="0" collapsed="false">
      <c r="A8" s="10" t="n">
        <v>1</v>
      </c>
      <c r="B8" s="10" t="s">
        <v>9</v>
      </c>
      <c r="C8" s="11" t="n">
        <f aca="false">Montos!B8</f>
        <v>32439</v>
      </c>
    </row>
    <row r="9" customFormat="false" ht="15" hidden="false" customHeight="false" outlineLevel="0" collapsed="false">
      <c r="A9" s="10" t="n">
        <v>1</v>
      </c>
      <c r="B9" s="10" t="s">
        <v>11</v>
      </c>
      <c r="C9" s="11" t="n">
        <f aca="false">Montos!B9</f>
        <v>22309.54</v>
      </c>
    </row>
    <row r="10" customFormat="false" ht="15" hidden="false" customHeight="false" outlineLevel="0" collapsed="false">
      <c r="A10" s="10" t="n">
        <v>1</v>
      </c>
      <c r="B10" s="10" t="s">
        <v>12</v>
      </c>
      <c r="C10" s="11" t="n">
        <f aca="false">Montos!B10</f>
        <v>19070</v>
      </c>
    </row>
    <row r="11" customFormat="false" ht="15" hidden="false" customHeight="false" outlineLevel="0" collapsed="false">
      <c r="A11" s="10" t="n">
        <v>1</v>
      </c>
      <c r="B11" s="10" t="s">
        <v>13</v>
      </c>
      <c r="C11" s="11" t="n">
        <f aca="false">Montos!B11</f>
        <v>2754</v>
      </c>
    </row>
    <row r="12" customFormat="false" ht="15" hidden="false" customHeight="false" outlineLevel="0" collapsed="false">
      <c r="A12" s="10" t="n">
        <v>2</v>
      </c>
      <c r="B12" s="10" t="s">
        <v>24</v>
      </c>
      <c r="C12" s="11" t="n">
        <f aca="false">Montos!B4+Montos!B5</f>
        <v>50149.64</v>
      </c>
    </row>
    <row r="13" customFormat="false" ht="15" hidden="false" customHeight="false" outlineLevel="0" collapsed="false">
      <c r="A13" s="10" t="n">
        <v>2</v>
      </c>
      <c r="B13" s="10" t="s">
        <v>25</v>
      </c>
      <c r="C13" s="11" t="n">
        <f aca="false">Montos!B4+Montos!B6</f>
        <v>29549.64</v>
      </c>
    </row>
    <row r="14" customFormat="false" ht="15" hidden="false" customHeight="false" outlineLevel="0" collapsed="false">
      <c r="A14" s="10" t="n">
        <v>2</v>
      </c>
      <c r="B14" s="10" t="s">
        <v>26</v>
      </c>
      <c r="C14" s="11" t="n">
        <f aca="false">Montos!B4+Montos!B7</f>
        <v>45067.64</v>
      </c>
    </row>
    <row r="15" customFormat="false" ht="15" hidden="false" customHeight="false" outlineLevel="0" collapsed="false">
      <c r="A15" s="10" t="n">
        <v>2</v>
      </c>
      <c r="B15" s="10" t="s">
        <v>27</v>
      </c>
      <c r="C15" s="11" t="n">
        <f aca="false">Montos!B4+Montos!B8</f>
        <v>57278.64</v>
      </c>
    </row>
    <row r="16" customFormat="false" ht="15" hidden="false" customHeight="false" outlineLevel="0" collapsed="false">
      <c r="A16" s="10" t="n">
        <v>2</v>
      </c>
      <c r="B16" s="10" t="s">
        <v>28</v>
      </c>
      <c r="C16" s="11" t="n">
        <f aca="false">Montos!B4+Montos!B9</f>
        <v>47149.18</v>
      </c>
    </row>
    <row r="17" customFormat="false" ht="15" hidden="false" customHeight="false" outlineLevel="0" collapsed="false">
      <c r="A17" s="10" t="n">
        <v>2</v>
      </c>
      <c r="B17" s="10" t="s">
        <v>29</v>
      </c>
      <c r="C17" s="11" t="n">
        <f aca="false">Montos!B4+Montos!B10</f>
        <v>43909.64</v>
      </c>
    </row>
    <row r="18" customFormat="false" ht="15" hidden="false" customHeight="false" outlineLevel="0" collapsed="false">
      <c r="A18" s="10" t="n">
        <v>2</v>
      </c>
      <c r="B18" s="10" t="s">
        <v>30</v>
      </c>
      <c r="C18" s="11" t="n">
        <f aca="false">Montos!B4+Montos!B11</f>
        <v>27593.64</v>
      </c>
    </row>
    <row r="19" customFormat="false" ht="15" hidden="false" customHeight="false" outlineLevel="0" collapsed="false">
      <c r="A19" s="10" t="n">
        <v>2</v>
      </c>
      <c r="B19" s="10" t="s">
        <v>31</v>
      </c>
      <c r="C19" s="11" t="n">
        <f aca="false">Montos!B5+Montos!B6</f>
        <v>30020</v>
      </c>
    </row>
    <row r="20" customFormat="false" ht="15" hidden="false" customHeight="false" outlineLevel="0" collapsed="false">
      <c r="A20" s="10" t="n">
        <v>2</v>
      </c>
      <c r="B20" s="10" t="s">
        <v>32</v>
      </c>
      <c r="C20" s="11" t="n">
        <f aca="false">Montos!B5+Montos!B7</f>
        <v>45538</v>
      </c>
    </row>
    <row r="21" customFormat="false" ht="15" hidden="false" customHeight="false" outlineLevel="0" collapsed="false">
      <c r="A21" s="10" t="n">
        <v>2</v>
      </c>
      <c r="B21" s="10" t="s">
        <v>33</v>
      </c>
      <c r="C21" s="11" t="n">
        <f aca="false">Montos!B5+Montos!B8</f>
        <v>57749</v>
      </c>
    </row>
    <row r="22" customFormat="false" ht="15" hidden="false" customHeight="false" outlineLevel="0" collapsed="false">
      <c r="A22" s="10" t="n">
        <v>2</v>
      </c>
      <c r="B22" s="10" t="s">
        <v>34</v>
      </c>
      <c r="C22" s="11" t="n">
        <f aca="false">Montos!B5+Montos!B9</f>
        <v>47619.54</v>
      </c>
    </row>
    <row r="23" customFormat="false" ht="15" hidden="false" customHeight="false" outlineLevel="0" collapsed="false">
      <c r="A23" s="10" t="n">
        <v>2</v>
      </c>
      <c r="B23" s="10" t="s">
        <v>35</v>
      </c>
      <c r="C23" s="11" t="n">
        <f aca="false">Montos!B5+Montos!B10</f>
        <v>44380</v>
      </c>
    </row>
    <row r="24" customFormat="false" ht="15" hidden="false" customHeight="false" outlineLevel="0" collapsed="false">
      <c r="A24" s="10" t="n">
        <v>2</v>
      </c>
      <c r="B24" s="10" t="s">
        <v>36</v>
      </c>
      <c r="C24" s="11" t="n">
        <f aca="false">Montos!B5+Montos!B11</f>
        <v>28064</v>
      </c>
    </row>
    <row r="25" customFormat="false" ht="15" hidden="false" customHeight="false" outlineLevel="0" collapsed="false">
      <c r="A25" s="10" t="n">
        <v>2</v>
      </c>
      <c r="B25" s="10" t="s">
        <v>37</v>
      </c>
      <c r="C25" s="11" t="n">
        <f aca="false">Montos!B6+Montos!B7</f>
        <v>24938</v>
      </c>
    </row>
    <row r="26" customFormat="false" ht="15" hidden="false" customHeight="false" outlineLevel="0" collapsed="false">
      <c r="A26" s="10" t="n">
        <v>2</v>
      </c>
      <c r="B26" s="10" t="s">
        <v>38</v>
      </c>
      <c r="C26" s="11" t="n">
        <f aca="false">Montos!B6+Montos!B8</f>
        <v>37149</v>
      </c>
    </row>
    <row r="27" customFormat="false" ht="15" hidden="false" customHeight="false" outlineLevel="0" collapsed="false">
      <c r="A27" s="10" t="n">
        <v>2</v>
      </c>
      <c r="B27" s="10" t="s">
        <v>39</v>
      </c>
      <c r="C27" s="11" t="n">
        <f aca="false">Montos!B6+Montos!B9</f>
        <v>27019.54</v>
      </c>
    </row>
    <row r="28" customFormat="false" ht="15" hidden="false" customHeight="false" outlineLevel="0" collapsed="false">
      <c r="A28" s="10" t="n">
        <v>2</v>
      </c>
      <c r="B28" s="10" t="s">
        <v>40</v>
      </c>
      <c r="C28" s="11" t="n">
        <f aca="false">Montos!B6+Montos!B10</f>
        <v>23780</v>
      </c>
    </row>
    <row r="29" customFormat="false" ht="15" hidden="false" customHeight="false" outlineLevel="0" collapsed="false">
      <c r="A29" s="10" t="n">
        <v>2</v>
      </c>
      <c r="B29" s="10" t="s">
        <v>41</v>
      </c>
      <c r="C29" s="11" t="n">
        <f aca="false">Montos!B6+Montos!B11</f>
        <v>7464</v>
      </c>
    </row>
    <row r="30" customFormat="false" ht="15" hidden="false" customHeight="false" outlineLevel="0" collapsed="false">
      <c r="A30" s="10" t="n">
        <v>2</v>
      </c>
      <c r="B30" s="10" t="s">
        <v>42</v>
      </c>
      <c r="C30" s="11" t="n">
        <f aca="false">Montos!B7+Montos!B8</f>
        <v>52667</v>
      </c>
    </row>
    <row r="31" customFormat="false" ht="15" hidden="false" customHeight="false" outlineLevel="0" collapsed="false">
      <c r="A31" s="10" t="n">
        <v>2</v>
      </c>
      <c r="B31" s="10" t="s">
        <v>43</v>
      </c>
      <c r="C31" s="11" t="n">
        <f aca="false">Montos!B7+Montos!B9</f>
        <v>42537.54</v>
      </c>
    </row>
    <row r="32" customFormat="false" ht="15" hidden="false" customHeight="false" outlineLevel="0" collapsed="false">
      <c r="A32" s="10" t="n">
        <v>2</v>
      </c>
      <c r="B32" s="10" t="s">
        <v>44</v>
      </c>
      <c r="C32" s="11" t="n">
        <f aca="false">Montos!B7+Montos!B10</f>
        <v>39298</v>
      </c>
    </row>
    <row r="33" customFormat="false" ht="15" hidden="false" customHeight="false" outlineLevel="0" collapsed="false">
      <c r="A33" s="10" t="n">
        <v>2</v>
      </c>
      <c r="B33" s="10" t="s">
        <v>45</v>
      </c>
      <c r="C33" s="11" t="n">
        <f aca="false">Montos!B7+Montos!B11</f>
        <v>22982</v>
      </c>
    </row>
    <row r="34" customFormat="false" ht="15" hidden="false" customHeight="false" outlineLevel="0" collapsed="false">
      <c r="A34" s="10" t="n">
        <v>2</v>
      </c>
      <c r="B34" s="10" t="s">
        <v>46</v>
      </c>
      <c r="C34" s="11" t="n">
        <f aca="false">Montos!B8+Montos!B9</f>
        <v>54748.54</v>
      </c>
    </row>
    <row r="35" customFormat="false" ht="15" hidden="false" customHeight="false" outlineLevel="0" collapsed="false">
      <c r="A35" s="10" t="n">
        <v>2</v>
      </c>
      <c r="B35" s="10" t="s">
        <v>47</v>
      </c>
      <c r="C35" s="11" t="n">
        <f aca="false">Montos!B8+Montos!B10</f>
        <v>51509</v>
      </c>
    </row>
    <row r="36" customFormat="false" ht="15" hidden="false" customHeight="false" outlineLevel="0" collapsed="false">
      <c r="A36" s="10" t="n">
        <v>2</v>
      </c>
      <c r="B36" s="10" t="s">
        <v>48</v>
      </c>
      <c r="C36" s="11" t="n">
        <f aca="false">Montos!B8+Montos!B11</f>
        <v>35193</v>
      </c>
    </row>
    <row r="37" customFormat="false" ht="15" hidden="false" customHeight="false" outlineLevel="0" collapsed="false">
      <c r="A37" s="10" t="n">
        <v>2</v>
      </c>
      <c r="B37" s="10" t="s">
        <v>49</v>
      </c>
      <c r="C37" s="11" t="n">
        <f aca="false">Montos!B9+Montos!B10</f>
        <v>41379.54</v>
      </c>
    </row>
    <row r="38" customFormat="false" ht="15" hidden="false" customHeight="false" outlineLevel="0" collapsed="false">
      <c r="A38" s="10" t="n">
        <v>2</v>
      </c>
      <c r="B38" s="10" t="s">
        <v>50</v>
      </c>
      <c r="C38" s="11" t="n">
        <f aca="false">Montos!B9+Montos!B11</f>
        <v>25063.54</v>
      </c>
    </row>
    <row r="39" customFormat="false" ht="15" hidden="false" customHeight="false" outlineLevel="0" collapsed="false">
      <c r="A39" s="10" t="n">
        <v>2</v>
      </c>
      <c r="B39" s="10" t="s">
        <v>51</v>
      </c>
      <c r="C39" s="11" t="n">
        <f aca="false">Montos!B10+Montos!B11</f>
        <v>21824</v>
      </c>
    </row>
    <row r="40" customFormat="false" ht="15" hidden="false" customHeight="false" outlineLevel="0" collapsed="false">
      <c r="A40" s="10" t="n">
        <v>3</v>
      </c>
      <c r="B40" s="10" t="s">
        <v>52</v>
      </c>
      <c r="C40" s="11" t="n">
        <f aca="false">Montos!B4+Montos!B5+Montos!B6</f>
        <v>54859.64</v>
      </c>
    </row>
    <row r="41" customFormat="false" ht="15" hidden="false" customHeight="false" outlineLevel="0" collapsed="false">
      <c r="A41" s="10" t="n">
        <v>3</v>
      </c>
      <c r="B41" s="10" t="s">
        <v>53</v>
      </c>
      <c r="C41" s="11" t="n">
        <f aca="false">Montos!B4+Montos!B5+Montos!B7</f>
        <v>70377.64</v>
      </c>
    </row>
    <row r="42" customFormat="false" ht="15" hidden="false" customHeight="false" outlineLevel="0" collapsed="false">
      <c r="A42" s="10" t="n">
        <v>3</v>
      </c>
      <c r="B42" s="10" t="s">
        <v>54</v>
      </c>
      <c r="C42" s="11" t="n">
        <f aca="false">Montos!B4+Montos!B5+Montos!B8</f>
        <v>82588.64</v>
      </c>
    </row>
    <row r="43" customFormat="false" ht="15" hidden="false" customHeight="false" outlineLevel="0" collapsed="false">
      <c r="A43" s="10" t="n">
        <v>3</v>
      </c>
      <c r="B43" s="10" t="s">
        <v>55</v>
      </c>
      <c r="C43" s="11" t="n">
        <f aca="false">Montos!B4+Montos!B5+Montos!B9</f>
        <v>72459.18</v>
      </c>
    </row>
    <row r="44" customFormat="false" ht="15" hidden="false" customHeight="false" outlineLevel="0" collapsed="false">
      <c r="A44" s="10" t="n">
        <v>3</v>
      </c>
      <c r="B44" s="10" t="s">
        <v>56</v>
      </c>
      <c r="C44" s="11" t="n">
        <f aca="false">Montos!B4+Montos!B5+Montos!B10</f>
        <v>69219.64</v>
      </c>
    </row>
    <row r="45" customFormat="false" ht="15" hidden="false" customHeight="false" outlineLevel="0" collapsed="false">
      <c r="A45" s="10" t="n">
        <v>3</v>
      </c>
      <c r="B45" s="10" t="s">
        <v>57</v>
      </c>
      <c r="C45" s="11" t="n">
        <f aca="false">Montos!B4+Montos!B5+Montos!B11</f>
        <v>52903.64</v>
      </c>
    </row>
    <row r="46" customFormat="false" ht="15" hidden="false" customHeight="false" outlineLevel="0" collapsed="false">
      <c r="A46" s="10" t="n">
        <v>3</v>
      </c>
      <c r="B46" s="10" t="s">
        <v>58</v>
      </c>
      <c r="C46" s="11" t="n">
        <f aca="false">Montos!B4+Montos!B6+Montos!B7</f>
        <v>49777.64</v>
      </c>
    </row>
    <row r="47" customFormat="false" ht="15" hidden="false" customHeight="false" outlineLevel="0" collapsed="false">
      <c r="A47" s="10" t="n">
        <v>3</v>
      </c>
      <c r="B47" s="10" t="s">
        <v>59</v>
      </c>
      <c r="C47" s="11" t="n">
        <f aca="false">Montos!B4+Montos!B6+Montos!B8</f>
        <v>61988.64</v>
      </c>
    </row>
    <row r="48" customFormat="false" ht="15" hidden="false" customHeight="false" outlineLevel="0" collapsed="false">
      <c r="A48" s="10" t="n">
        <v>3</v>
      </c>
      <c r="B48" s="10" t="s">
        <v>60</v>
      </c>
      <c r="C48" s="11" t="n">
        <f aca="false">Montos!B4+Montos!B6+Montos!B9</f>
        <v>51859.18</v>
      </c>
    </row>
    <row r="49" customFormat="false" ht="15" hidden="false" customHeight="false" outlineLevel="0" collapsed="false">
      <c r="A49" s="10" t="n">
        <v>3</v>
      </c>
      <c r="B49" s="10" t="s">
        <v>61</v>
      </c>
      <c r="C49" s="11" t="n">
        <f aca="false">Montos!B4+Montos!B6+Montos!B10</f>
        <v>48619.64</v>
      </c>
    </row>
    <row r="50" customFormat="false" ht="15" hidden="false" customHeight="false" outlineLevel="0" collapsed="false">
      <c r="A50" s="10" t="n">
        <v>3</v>
      </c>
      <c r="B50" s="10" t="s">
        <v>62</v>
      </c>
      <c r="C50" s="11" t="n">
        <f aca="false">Montos!B4+Montos!B6+Montos!B11</f>
        <v>32303.64</v>
      </c>
    </row>
    <row r="51" customFormat="false" ht="15" hidden="false" customHeight="false" outlineLevel="0" collapsed="false">
      <c r="A51" s="10" t="n">
        <v>3</v>
      </c>
      <c r="B51" s="10" t="s">
        <v>63</v>
      </c>
      <c r="C51" s="11" t="n">
        <f aca="false">Montos!B4+Montos!B7+Montos!B8</f>
        <v>77506.64</v>
      </c>
    </row>
    <row r="52" customFormat="false" ht="15" hidden="false" customHeight="false" outlineLevel="0" collapsed="false">
      <c r="A52" s="10" t="n">
        <v>3</v>
      </c>
      <c r="B52" s="10" t="s">
        <v>64</v>
      </c>
      <c r="C52" s="11" t="n">
        <f aca="false">Montos!B4+Montos!B7+Montos!B9</f>
        <v>67377.18</v>
      </c>
    </row>
    <row r="53" customFormat="false" ht="15" hidden="false" customHeight="false" outlineLevel="0" collapsed="false">
      <c r="A53" s="10" t="n">
        <v>3</v>
      </c>
      <c r="B53" s="10" t="s">
        <v>65</v>
      </c>
      <c r="C53" s="11" t="n">
        <f aca="false">Montos!B4+Montos!B7+Montos!B10</f>
        <v>64137.64</v>
      </c>
    </row>
    <row r="54" customFormat="false" ht="15" hidden="false" customHeight="false" outlineLevel="0" collapsed="false">
      <c r="A54" s="10" t="n">
        <v>3</v>
      </c>
      <c r="B54" s="10" t="s">
        <v>66</v>
      </c>
      <c r="C54" s="11" t="n">
        <f aca="false">Montos!B4+Montos!B7+Montos!B11</f>
        <v>47821.64</v>
      </c>
    </row>
    <row r="55" customFormat="false" ht="15" hidden="false" customHeight="false" outlineLevel="0" collapsed="false">
      <c r="A55" s="10" t="n">
        <v>3</v>
      </c>
      <c r="B55" s="10" t="s">
        <v>67</v>
      </c>
      <c r="C55" s="11" t="n">
        <f aca="false">Montos!B4+Montos!B8+Montos!B9</f>
        <v>79588.18</v>
      </c>
    </row>
    <row r="56" customFormat="false" ht="15" hidden="false" customHeight="false" outlineLevel="0" collapsed="false">
      <c r="A56" s="10" t="n">
        <v>3</v>
      </c>
      <c r="B56" s="10" t="s">
        <v>68</v>
      </c>
      <c r="C56" s="11" t="n">
        <f aca="false">Montos!B4+Montos!B8+Montos!B10</f>
        <v>76348.64</v>
      </c>
    </row>
    <row r="57" customFormat="false" ht="15" hidden="false" customHeight="false" outlineLevel="0" collapsed="false">
      <c r="A57" s="10" t="n">
        <v>3</v>
      </c>
      <c r="B57" s="10" t="s">
        <v>69</v>
      </c>
      <c r="C57" s="11" t="n">
        <f aca="false">Montos!B4+Montos!B8+Montos!B11</f>
        <v>60032.64</v>
      </c>
    </row>
    <row r="58" customFormat="false" ht="15" hidden="false" customHeight="false" outlineLevel="0" collapsed="false">
      <c r="A58" s="10" t="n">
        <v>3</v>
      </c>
      <c r="B58" s="10" t="s">
        <v>70</v>
      </c>
      <c r="C58" s="11" t="n">
        <f aca="false">Montos!B4+Montos!B9+Montos!B10</f>
        <v>66219.18</v>
      </c>
    </row>
    <row r="59" customFormat="false" ht="15" hidden="false" customHeight="false" outlineLevel="0" collapsed="false">
      <c r="A59" s="10" t="n">
        <v>3</v>
      </c>
      <c r="B59" s="10" t="s">
        <v>71</v>
      </c>
      <c r="C59" s="11" t="n">
        <f aca="false">Montos!B4+Montos!B9+Montos!B11</f>
        <v>49903.18</v>
      </c>
    </row>
    <row r="60" customFormat="false" ht="15" hidden="false" customHeight="false" outlineLevel="0" collapsed="false">
      <c r="A60" s="10" t="n">
        <v>3</v>
      </c>
      <c r="B60" s="10" t="s">
        <v>72</v>
      </c>
      <c r="C60" s="11" t="n">
        <f aca="false">Montos!B4+Montos!B10+Montos!B11</f>
        <v>46663.64</v>
      </c>
    </row>
    <row r="61" customFormat="false" ht="15" hidden="false" customHeight="false" outlineLevel="0" collapsed="false">
      <c r="A61" s="10" t="n">
        <v>3</v>
      </c>
      <c r="B61" s="10" t="s">
        <v>73</v>
      </c>
      <c r="C61" s="11" t="n">
        <f aca="false">Montos!B5+Montos!B6+Montos!B7</f>
        <v>50248</v>
      </c>
    </row>
    <row r="62" customFormat="false" ht="15" hidden="false" customHeight="false" outlineLevel="0" collapsed="false">
      <c r="A62" s="10" t="n">
        <v>3</v>
      </c>
      <c r="B62" s="10" t="s">
        <v>74</v>
      </c>
      <c r="C62" s="11" t="n">
        <f aca="false">Montos!B5+Montos!B6+Montos!B8</f>
        <v>62459</v>
      </c>
    </row>
    <row r="63" customFormat="false" ht="15" hidden="false" customHeight="false" outlineLevel="0" collapsed="false">
      <c r="A63" s="10" t="n">
        <v>3</v>
      </c>
      <c r="B63" s="10" t="s">
        <v>75</v>
      </c>
      <c r="C63" s="11" t="n">
        <f aca="false">Montos!B5+Montos!B6+Montos!B9</f>
        <v>52329.54</v>
      </c>
    </row>
    <row r="64" customFormat="false" ht="15" hidden="false" customHeight="false" outlineLevel="0" collapsed="false">
      <c r="A64" s="10" t="n">
        <v>3</v>
      </c>
      <c r="B64" s="10" t="s">
        <v>76</v>
      </c>
      <c r="C64" s="11" t="n">
        <f aca="false">Montos!B5+Montos!B6+Montos!B10</f>
        <v>49090</v>
      </c>
    </row>
    <row r="65" customFormat="false" ht="15" hidden="false" customHeight="false" outlineLevel="0" collapsed="false">
      <c r="A65" s="10" t="n">
        <v>3</v>
      </c>
      <c r="B65" s="10" t="s">
        <v>77</v>
      </c>
      <c r="C65" s="11" t="n">
        <f aca="false">Montos!B5+Montos!B6+Montos!B11</f>
        <v>32774</v>
      </c>
    </row>
    <row r="66" customFormat="false" ht="15" hidden="false" customHeight="false" outlineLevel="0" collapsed="false">
      <c r="A66" s="10" t="n">
        <v>3</v>
      </c>
      <c r="B66" s="10" t="s">
        <v>78</v>
      </c>
      <c r="C66" s="11" t="n">
        <f aca="false">Montos!B5+Montos!B7+Montos!B8</f>
        <v>77977</v>
      </c>
    </row>
    <row r="67" customFormat="false" ht="15" hidden="false" customHeight="false" outlineLevel="0" collapsed="false">
      <c r="A67" s="10" t="n">
        <v>3</v>
      </c>
      <c r="B67" s="10" t="s">
        <v>79</v>
      </c>
      <c r="C67" s="11" t="n">
        <f aca="false">Montos!B5+Montos!B7+Montos!B9</f>
        <v>67847.54</v>
      </c>
    </row>
    <row r="68" customFormat="false" ht="15" hidden="false" customHeight="false" outlineLevel="0" collapsed="false">
      <c r="A68" s="10" t="n">
        <v>3</v>
      </c>
      <c r="B68" s="10" t="s">
        <v>80</v>
      </c>
      <c r="C68" s="11" t="n">
        <f aca="false">Montos!B5+Montos!B7+Montos!B10</f>
        <v>64608</v>
      </c>
    </row>
    <row r="69" customFormat="false" ht="15" hidden="false" customHeight="false" outlineLevel="0" collapsed="false">
      <c r="A69" s="10" t="n">
        <v>3</v>
      </c>
      <c r="B69" s="10" t="s">
        <v>81</v>
      </c>
      <c r="C69" s="11" t="n">
        <f aca="false">Montos!B5+Montos!B7+Montos!B11</f>
        <v>48292</v>
      </c>
    </row>
    <row r="70" customFormat="false" ht="15" hidden="false" customHeight="false" outlineLevel="0" collapsed="false">
      <c r="A70" s="10" t="n">
        <v>3</v>
      </c>
      <c r="B70" s="10" t="s">
        <v>82</v>
      </c>
      <c r="C70" s="11" t="n">
        <f aca="false">Montos!B5+Montos!B8+Montos!B9</f>
        <v>80058.54</v>
      </c>
    </row>
    <row r="71" customFormat="false" ht="15" hidden="false" customHeight="false" outlineLevel="0" collapsed="false">
      <c r="A71" s="10" t="n">
        <v>3</v>
      </c>
      <c r="B71" s="10" t="s">
        <v>83</v>
      </c>
      <c r="C71" s="11" t="n">
        <f aca="false">Montos!B5+Montos!B8+Montos!B10</f>
        <v>76819</v>
      </c>
    </row>
    <row r="72" customFormat="false" ht="15" hidden="false" customHeight="false" outlineLevel="0" collapsed="false">
      <c r="A72" s="10" t="n">
        <v>3</v>
      </c>
      <c r="B72" s="10" t="s">
        <v>84</v>
      </c>
      <c r="C72" s="11" t="n">
        <f aca="false">Montos!B5+Montos!B8+Montos!B11</f>
        <v>60503</v>
      </c>
    </row>
    <row r="73" customFormat="false" ht="15" hidden="false" customHeight="false" outlineLevel="0" collapsed="false">
      <c r="A73" s="10" t="n">
        <v>3</v>
      </c>
      <c r="B73" s="10" t="s">
        <v>85</v>
      </c>
      <c r="C73" s="11" t="n">
        <f aca="false">Montos!B5+Montos!B9+Montos!B10</f>
        <v>66689.54</v>
      </c>
    </row>
    <row r="74" customFormat="false" ht="15" hidden="false" customHeight="false" outlineLevel="0" collapsed="false">
      <c r="A74" s="10" t="n">
        <v>3</v>
      </c>
      <c r="B74" s="10" t="s">
        <v>86</v>
      </c>
      <c r="C74" s="11" t="n">
        <f aca="false">Montos!B5+Montos!B9+Montos!B11</f>
        <v>50373.54</v>
      </c>
    </row>
    <row r="75" customFormat="false" ht="15" hidden="false" customHeight="false" outlineLevel="0" collapsed="false">
      <c r="A75" s="10" t="n">
        <v>3</v>
      </c>
      <c r="B75" s="10" t="s">
        <v>87</v>
      </c>
      <c r="C75" s="11" t="n">
        <f aca="false">Montos!B5+Montos!B10+Montos!B11</f>
        <v>47134</v>
      </c>
    </row>
    <row r="76" customFormat="false" ht="15" hidden="false" customHeight="false" outlineLevel="0" collapsed="false">
      <c r="A76" s="10" t="n">
        <v>3</v>
      </c>
      <c r="B76" s="10" t="s">
        <v>88</v>
      </c>
      <c r="C76" s="11" t="n">
        <f aca="false">Montos!B6+Montos!B7+Montos!B8</f>
        <v>57377</v>
      </c>
    </row>
    <row r="77" customFormat="false" ht="15" hidden="false" customHeight="false" outlineLevel="0" collapsed="false">
      <c r="A77" s="10" t="n">
        <v>3</v>
      </c>
      <c r="B77" s="10" t="s">
        <v>89</v>
      </c>
      <c r="C77" s="11" t="n">
        <f aca="false">Montos!B6+Montos!B7+Montos!B9</f>
        <v>47247.54</v>
      </c>
    </row>
    <row r="78" customFormat="false" ht="15" hidden="false" customHeight="false" outlineLevel="0" collapsed="false">
      <c r="A78" s="10" t="n">
        <v>3</v>
      </c>
      <c r="B78" s="10" t="s">
        <v>90</v>
      </c>
      <c r="C78" s="11" t="n">
        <f aca="false">Montos!B6+Montos!B7+Montos!B10</f>
        <v>44008</v>
      </c>
    </row>
    <row r="79" customFormat="false" ht="15" hidden="false" customHeight="false" outlineLevel="0" collapsed="false">
      <c r="A79" s="10" t="n">
        <v>3</v>
      </c>
      <c r="B79" s="10" t="s">
        <v>91</v>
      </c>
      <c r="C79" s="11" t="n">
        <f aca="false">Montos!B6+Montos!B7+Montos!B11</f>
        <v>27692</v>
      </c>
    </row>
    <row r="80" customFormat="false" ht="15" hidden="false" customHeight="false" outlineLevel="0" collapsed="false">
      <c r="A80" s="10" t="n">
        <v>3</v>
      </c>
      <c r="B80" s="10" t="s">
        <v>92</v>
      </c>
      <c r="C80" s="11" t="n">
        <f aca="false">Montos!B6+Montos!B8+Montos!B9</f>
        <v>59458.54</v>
      </c>
    </row>
    <row r="81" customFormat="false" ht="15" hidden="false" customHeight="false" outlineLevel="0" collapsed="false">
      <c r="A81" s="10" t="n">
        <v>3</v>
      </c>
      <c r="B81" s="10" t="s">
        <v>93</v>
      </c>
      <c r="C81" s="11" t="n">
        <f aca="false">Montos!B6+Montos!B8+Montos!B10</f>
        <v>56219</v>
      </c>
    </row>
    <row r="82" customFormat="false" ht="15" hidden="false" customHeight="false" outlineLevel="0" collapsed="false">
      <c r="A82" s="10" t="n">
        <v>3</v>
      </c>
      <c r="B82" s="10" t="s">
        <v>94</v>
      </c>
      <c r="C82" s="11" t="n">
        <f aca="false">Montos!B6+Montos!B8+Montos!B11</f>
        <v>39903</v>
      </c>
    </row>
    <row r="83" customFormat="false" ht="15" hidden="false" customHeight="false" outlineLevel="0" collapsed="false">
      <c r="A83" s="10" t="n">
        <v>3</v>
      </c>
      <c r="B83" s="10" t="s">
        <v>95</v>
      </c>
      <c r="C83" s="11" t="n">
        <f aca="false">Montos!B6+Montos!B9+Montos!B10</f>
        <v>46089.54</v>
      </c>
    </row>
    <row r="84" customFormat="false" ht="15" hidden="false" customHeight="false" outlineLevel="0" collapsed="false">
      <c r="A84" s="10" t="n">
        <v>3</v>
      </c>
      <c r="B84" s="10" t="s">
        <v>96</v>
      </c>
      <c r="C84" s="11" t="n">
        <f aca="false">Montos!B6+Montos!B9+Montos!B11</f>
        <v>29773.54</v>
      </c>
    </row>
    <row r="85" customFormat="false" ht="15" hidden="false" customHeight="false" outlineLevel="0" collapsed="false">
      <c r="A85" s="10" t="n">
        <v>3</v>
      </c>
      <c r="B85" s="10" t="s">
        <v>97</v>
      </c>
      <c r="C85" s="11" t="n">
        <f aca="false">Montos!B6+Montos!B10+Montos!B11</f>
        <v>26534</v>
      </c>
    </row>
    <row r="86" customFormat="false" ht="15" hidden="false" customHeight="false" outlineLevel="0" collapsed="false">
      <c r="A86" s="10" t="n">
        <v>3</v>
      </c>
      <c r="B86" s="10" t="s">
        <v>98</v>
      </c>
      <c r="C86" s="11" t="n">
        <f aca="false">Montos!B7+Montos!B8+Montos!B9</f>
        <v>74976.54</v>
      </c>
    </row>
    <row r="87" customFormat="false" ht="15" hidden="false" customHeight="false" outlineLevel="0" collapsed="false">
      <c r="A87" s="10" t="n">
        <v>3</v>
      </c>
      <c r="B87" s="10" t="s">
        <v>99</v>
      </c>
      <c r="C87" s="11" t="n">
        <f aca="false">Montos!B7+Montos!B8+Montos!B10</f>
        <v>71737</v>
      </c>
    </row>
    <row r="88" customFormat="false" ht="15" hidden="false" customHeight="false" outlineLevel="0" collapsed="false">
      <c r="A88" s="10" t="n">
        <v>3</v>
      </c>
      <c r="B88" s="10" t="s">
        <v>100</v>
      </c>
      <c r="C88" s="11" t="n">
        <f aca="false">Montos!B7+Montos!B8+Montos!B11</f>
        <v>55421</v>
      </c>
    </row>
    <row r="89" customFormat="false" ht="15" hidden="false" customHeight="false" outlineLevel="0" collapsed="false">
      <c r="A89" s="10" t="n">
        <v>3</v>
      </c>
      <c r="B89" s="10" t="s">
        <v>101</v>
      </c>
      <c r="C89" s="11" t="n">
        <f aca="false">Montos!B7+Montos!B9+Montos!B10</f>
        <v>61607.54</v>
      </c>
    </row>
    <row r="90" customFormat="false" ht="15" hidden="false" customHeight="false" outlineLevel="0" collapsed="false">
      <c r="A90" s="10" t="n">
        <v>3</v>
      </c>
      <c r="B90" s="10" t="s">
        <v>102</v>
      </c>
      <c r="C90" s="11" t="n">
        <f aca="false">Montos!B7+Montos!B9+Montos!B11</f>
        <v>45291.54</v>
      </c>
    </row>
    <row r="91" customFormat="false" ht="15" hidden="false" customHeight="false" outlineLevel="0" collapsed="false">
      <c r="A91" s="10" t="n">
        <v>3</v>
      </c>
      <c r="B91" s="10" t="s">
        <v>103</v>
      </c>
      <c r="C91" s="11" t="n">
        <f aca="false">Montos!B7+Montos!B10+Montos!B11</f>
        <v>42052</v>
      </c>
    </row>
    <row r="92" customFormat="false" ht="15" hidden="false" customHeight="false" outlineLevel="0" collapsed="false">
      <c r="A92" s="10" t="n">
        <v>3</v>
      </c>
      <c r="B92" s="10" t="s">
        <v>104</v>
      </c>
      <c r="C92" s="11" t="n">
        <f aca="false">Montos!B8+Montos!B9+Montos!B10</f>
        <v>73818.54</v>
      </c>
    </row>
    <row r="93" customFormat="false" ht="15" hidden="false" customHeight="false" outlineLevel="0" collapsed="false">
      <c r="A93" s="10" t="n">
        <v>3</v>
      </c>
      <c r="B93" s="10" t="s">
        <v>105</v>
      </c>
      <c r="C93" s="11" t="n">
        <f aca="false">Montos!B8+Montos!B9+Montos!B11</f>
        <v>57502.54</v>
      </c>
    </row>
    <row r="94" customFormat="false" ht="15" hidden="false" customHeight="false" outlineLevel="0" collapsed="false">
      <c r="A94" s="10" t="n">
        <v>3</v>
      </c>
      <c r="B94" s="10" t="s">
        <v>106</v>
      </c>
      <c r="C94" s="11" t="n">
        <f aca="false">Montos!B8+Montos!B10+Montos!B11</f>
        <v>54263</v>
      </c>
    </row>
    <row r="95" customFormat="false" ht="15" hidden="false" customHeight="false" outlineLevel="0" collapsed="false">
      <c r="A95" s="10" t="n">
        <v>3</v>
      </c>
      <c r="B95" s="10" t="s">
        <v>107</v>
      </c>
      <c r="C95" s="11" t="n">
        <f aca="false">Montos!B9+Montos!B10+Montos!B11</f>
        <v>44133.54</v>
      </c>
    </row>
    <row r="96" customFormat="false" ht="15" hidden="false" customHeight="false" outlineLevel="0" collapsed="false">
      <c r="A96" s="10" t="n">
        <v>4</v>
      </c>
      <c r="B96" s="10" t="s">
        <v>108</v>
      </c>
      <c r="C96" s="11" t="n">
        <f aca="false">Montos!B4+Montos!B5+Montos!B6+Montos!B7</f>
        <v>75087.64</v>
      </c>
    </row>
    <row r="97" customFormat="false" ht="15" hidden="false" customHeight="false" outlineLevel="0" collapsed="false">
      <c r="A97" s="10" t="n">
        <v>4</v>
      </c>
      <c r="B97" s="10" t="s">
        <v>109</v>
      </c>
      <c r="C97" s="11" t="n">
        <f aca="false">Montos!B4+Montos!B5+Montos!B6+Montos!B8</f>
        <v>87298.64</v>
      </c>
    </row>
    <row r="98" customFormat="false" ht="15" hidden="false" customHeight="false" outlineLevel="0" collapsed="false">
      <c r="A98" s="10" t="n">
        <v>4</v>
      </c>
      <c r="B98" s="10" t="s">
        <v>110</v>
      </c>
      <c r="C98" s="11" t="n">
        <f aca="false">Montos!B4+Montos!B5+Montos!B6+Montos!B9</f>
        <v>77169.18</v>
      </c>
    </row>
    <row r="99" customFormat="false" ht="15" hidden="false" customHeight="false" outlineLevel="0" collapsed="false">
      <c r="A99" s="10" t="n">
        <v>4</v>
      </c>
      <c r="B99" s="10" t="s">
        <v>111</v>
      </c>
      <c r="C99" s="11" t="n">
        <f aca="false">Montos!B4+Montos!B5+Montos!B6+Montos!B10</f>
        <v>73929.64</v>
      </c>
    </row>
    <row r="100" customFormat="false" ht="15" hidden="false" customHeight="false" outlineLevel="0" collapsed="false">
      <c r="A100" s="10" t="n">
        <v>4</v>
      </c>
      <c r="B100" s="10" t="s">
        <v>112</v>
      </c>
      <c r="C100" s="11" t="n">
        <f aca="false">Montos!B4+Montos!B5+Montos!B6+Montos!B11</f>
        <v>57613.64</v>
      </c>
    </row>
    <row r="101" customFormat="false" ht="15" hidden="false" customHeight="false" outlineLevel="0" collapsed="false">
      <c r="A101" s="10" t="n">
        <v>4</v>
      </c>
      <c r="B101" s="10" t="s">
        <v>113</v>
      </c>
      <c r="C101" s="11" t="n">
        <f aca="false">Montos!B4+Montos!B5+Montos!B7+Montos!B8</f>
        <v>102816.64</v>
      </c>
    </row>
    <row r="102" customFormat="false" ht="15" hidden="false" customHeight="false" outlineLevel="0" collapsed="false">
      <c r="A102" s="10" t="n">
        <v>4</v>
      </c>
      <c r="B102" s="10" t="s">
        <v>114</v>
      </c>
      <c r="C102" s="11" t="n">
        <f aca="false">Montos!B4+Montos!B5+Montos!B7+Montos!B9</f>
        <v>92687.18</v>
      </c>
    </row>
    <row r="103" customFormat="false" ht="15" hidden="false" customHeight="false" outlineLevel="0" collapsed="false">
      <c r="A103" s="10" t="n">
        <v>4</v>
      </c>
      <c r="B103" s="10" t="s">
        <v>115</v>
      </c>
      <c r="C103" s="11" t="n">
        <f aca="false">Montos!B4+Montos!B5+Montos!B7+Montos!B10</f>
        <v>89447.64</v>
      </c>
    </row>
    <row r="104" customFormat="false" ht="15" hidden="false" customHeight="false" outlineLevel="0" collapsed="false">
      <c r="A104" s="10" t="n">
        <v>4</v>
      </c>
      <c r="B104" s="10" t="s">
        <v>116</v>
      </c>
      <c r="C104" s="11" t="n">
        <f aca="false">Montos!B4+Montos!B5+Montos!B7+Montos!B11</f>
        <v>73131.64</v>
      </c>
    </row>
    <row r="105" customFormat="false" ht="15" hidden="false" customHeight="false" outlineLevel="0" collapsed="false">
      <c r="A105" s="10" t="n">
        <v>4</v>
      </c>
      <c r="B105" s="10" t="s">
        <v>117</v>
      </c>
      <c r="C105" s="11" t="n">
        <f aca="false">Montos!B4+Montos!B5+Montos!B8+Montos!B9</f>
        <v>104898.18</v>
      </c>
    </row>
    <row r="106" customFormat="false" ht="15" hidden="false" customHeight="false" outlineLevel="0" collapsed="false">
      <c r="A106" s="10" t="n">
        <v>4</v>
      </c>
      <c r="B106" s="10" t="s">
        <v>118</v>
      </c>
      <c r="C106" s="11" t="n">
        <f aca="false">Montos!B4+Montos!B5+Montos!B8+Montos!B10</f>
        <v>101658.64</v>
      </c>
    </row>
    <row r="107" customFormat="false" ht="15" hidden="false" customHeight="false" outlineLevel="0" collapsed="false">
      <c r="A107" s="10" t="n">
        <v>4</v>
      </c>
      <c r="B107" s="10" t="s">
        <v>119</v>
      </c>
      <c r="C107" s="11" t="n">
        <f aca="false">Montos!B4+Montos!B5+Montos!B8+Montos!B11</f>
        <v>85342.64</v>
      </c>
    </row>
    <row r="108" customFormat="false" ht="15" hidden="false" customHeight="false" outlineLevel="0" collapsed="false">
      <c r="A108" s="10" t="n">
        <v>4</v>
      </c>
      <c r="B108" s="10" t="s">
        <v>120</v>
      </c>
      <c r="C108" s="11" t="n">
        <f aca="false">Montos!B4+Montos!B5+Montos!B9+Montos!B10</f>
        <v>91529.18</v>
      </c>
    </row>
    <row r="109" customFormat="false" ht="15" hidden="false" customHeight="false" outlineLevel="0" collapsed="false">
      <c r="A109" s="10" t="n">
        <v>4</v>
      </c>
      <c r="B109" s="10" t="s">
        <v>121</v>
      </c>
      <c r="C109" s="11" t="n">
        <f aca="false">Montos!B4+Montos!B5+Montos!B9+Montos!B11</f>
        <v>75213.18</v>
      </c>
    </row>
    <row r="110" customFormat="false" ht="15" hidden="false" customHeight="false" outlineLevel="0" collapsed="false">
      <c r="A110" s="10" t="n">
        <v>4</v>
      </c>
      <c r="B110" s="10" t="s">
        <v>122</v>
      </c>
      <c r="C110" s="11" t="n">
        <f aca="false">Montos!B4+Montos!B5+Montos!B10+Montos!B11</f>
        <v>71973.64</v>
      </c>
    </row>
    <row r="111" customFormat="false" ht="15" hidden="false" customHeight="false" outlineLevel="0" collapsed="false">
      <c r="A111" s="10" t="n">
        <v>4</v>
      </c>
      <c r="B111" s="10" t="s">
        <v>123</v>
      </c>
      <c r="C111" s="11" t="n">
        <f aca="false">Montos!B4+Montos!B6+Montos!B7+Montos!B8</f>
        <v>82216.64</v>
      </c>
    </row>
    <row r="112" customFormat="false" ht="15" hidden="false" customHeight="false" outlineLevel="0" collapsed="false">
      <c r="A112" s="10" t="n">
        <v>4</v>
      </c>
      <c r="B112" s="10" t="s">
        <v>124</v>
      </c>
      <c r="C112" s="11" t="n">
        <f aca="false">Montos!B4+Montos!B6+Montos!B7+Montos!B9</f>
        <v>72087.18</v>
      </c>
    </row>
    <row r="113" customFormat="false" ht="15" hidden="false" customHeight="false" outlineLevel="0" collapsed="false">
      <c r="A113" s="10" t="n">
        <v>4</v>
      </c>
      <c r="B113" s="10" t="s">
        <v>125</v>
      </c>
      <c r="C113" s="11" t="n">
        <f aca="false">Montos!B4+Montos!B6+Montos!B7+Montos!B10</f>
        <v>68847.64</v>
      </c>
    </row>
    <row r="114" customFormat="false" ht="15" hidden="false" customHeight="false" outlineLevel="0" collapsed="false">
      <c r="A114" s="10" t="n">
        <v>4</v>
      </c>
      <c r="B114" s="10" t="s">
        <v>126</v>
      </c>
      <c r="C114" s="11" t="n">
        <f aca="false">Montos!B4+Montos!B6+Montos!B7+Montos!B11</f>
        <v>52531.64</v>
      </c>
    </row>
    <row r="115" customFormat="false" ht="15" hidden="false" customHeight="false" outlineLevel="0" collapsed="false">
      <c r="A115" s="10" t="n">
        <v>4</v>
      </c>
      <c r="B115" s="10" t="s">
        <v>127</v>
      </c>
      <c r="C115" s="11" t="n">
        <f aca="false">Montos!B4+Montos!B6+Montos!B8+Montos!B9</f>
        <v>84298.18</v>
      </c>
    </row>
    <row r="116" customFormat="false" ht="15" hidden="false" customHeight="false" outlineLevel="0" collapsed="false">
      <c r="A116" s="10" t="n">
        <v>4</v>
      </c>
      <c r="B116" s="10" t="s">
        <v>128</v>
      </c>
      <c r="C116" s="11" t="n">
        <f aca="false">Montos!B4+Montos!B6+Montos!B8+Montos!B10</f>
        <v>81058.64</v>
      </c>
    </row>
    <row r="117" customFormat="false" ht="15" hidden="false" customHeight="false" outlineLevel="0" collapsed="false">
      <c r="A117" s="10" t="n">
        <v>4</v>
      </c>
      <c r="B117" s="10" t="s">
        <v>129</v>
      </c>
      <c r="C117" s="11" t="n">
        <f aca="false">Montos!B4+Montos!B6+Montos!B8+Montos!B11</f>
        <v>64742.64</v>
      </c>
    </row>
    <row r="118" customFormat="false" ht="15" hidden="false" customHeight="false" outlineLevel="0" collapsed="false">
      <c r="A118" s="10" t="n">
        <v>4</v>
      </c>
      <c r="B118" s="10" t="s">
        <v>130</v>
      </c>
      <c r="C118" s="11" t="n">
        <f aca="false">Montos!B4+Montos!B6+Montos!B9+Montos!B10</f>
        <v>70929.18</v>
      </c>
    </row>
    <row r="119" customFormat="false" ht="15" hidden="false" customHeight="false" outlineLevel="0" collapsed="false">
      <c r="A119" s="10" t="n">
        <v>4</v>
      </c>
      <c r="B119" s="10" t="s">
        <v>131</v>
      </c>
      <c r="C119" s="11" t="n">
        <f aca="false">Montos!B4+Montos!B6+Montos!B9+Montos!B11</f>
        <v>54613.18</v>
      </c>
    </row>
    <row r="120" customFormat="false" ht="15" hidden="false" customHeight="false" outlineLevel="0" collapsed="false">
      <c r="A120" s="10" t="n">
        <v>4</v>
      </c>
      <c r="B120" s="10" t="s">
        <v>132</v>
      </c>
      <c r="C120" s="11" t="n">
        <f aca="false">Montos!B4+Montos!B6+Montos!B10+Montos!B11</f>
        <v>51373.64</v>
      </c>
    </row>
    <row r="121" customFormat="false" ht="15" hidden="false" customHeight="false" outlineLevel="0" collapsed="false">
      <c r="A121" s="10" t="n">
        <v>4</v>
      </c>
      <c r="B121" s="10" t="s">
        <v>133</v>
      </c>
      <c r="C121" s="11" t="n">
        <f aca="false">Montos!B4+Montos!B7+Montos!B8+Montos!B9</f>
        <v>99816.18</v>
      </c>
    </row>
    <row r="122" customFormat="false" ht="15" hidden="false" customHeight="false" outlineLevel="0" collapsed="false">
      <c r="A122" s="10" t="n">
        <v>4</v>
      </c>
      <c r="B122" s="10" t="s">
        <v>134</v>
      </c>
      <c r="C122" s="11" t="n">
        <f aca="false">Montos!B4+Montos!B7+Montos!B8+Montos!B10</f>
        <v>96576.64</v>
      </c>
    </row>
    <row r="123" customFormat="false" ht="15" hidden="false" customHeight="false" outlineLevel="0" collapsed="false">
      <c r="A123" s="10" t="n">
        <v>4</v>
      </c>
      <c r="B123" s="10" t="s">
        <v>135</v>
      </c>
      <c r="C123" s="11" t="n">
        <f aca="false">Montos!B4+Montos!B7+Montos!B8+Montos!B11</f>
        <v>80260.64</v>
      </c>
    </row>
    <row r="124" customFormat="false" ht="15" hidden="false" customHeight="false" outlineLevel="0" collapsed="false">
      <c r="A124" s="10" t="n">
        <v>4</v>
      </c>
      <c r="B124" s="10" t="s">
        <v>136</v>
      </c>
      <c r="C124" s="11" t="n">
        <f aca="false">Montos!B4+Montos!B7+Montos!B9+Montos!B10</f>
        <v>86447.18</v>
      </c>
    </row>
    <row r="125" customFormat="false" ht="15" hidden="false" customHeight="false" outlineLevel="0" collapsed="false">
      <c r="A125" s="10" t="n">
        <v>4</v>
      </c>
      <c r="B125" s="10" t="s">
        <v>137</v>
      </c>
      <c r="C125" s="11" t="n">
        <f aca="false">Montos!B4+Montos!B7+Montos!B9+Montos!B11</f>
        <v>70131.18</v>
      </c>
    </row>
    <row r="126" customFormat="false" ht="15" hidden="false" customHeight="false" outlineLevel="0" collapsed="false">
      <c r="A126" s="10" t="n">
        <v>4</v>
      </c>
      <c r="B126" s="10" t="s">
        <v>138</v>
      </c>
      <c r="C126" s="11" t="n">
        <f aca="false">Montos!B4+Montos!B7+Montos!B10+Montos!B11</f>
        <v>66891.64</v>
      </c>
    </row>
    <row r="127" customFormat="false" ht="15" hidden="false" customHeight="false" outlineLevel="0" collapsed="false">
      <c r="A127" s="10" t="n">
        <v>4</v>
      </c>
      <c r="B127" s="10" t="s">
        <v>139</v>
      </c>
      <c r="C127" s="11" t="n">
        <f aca="false">Montos!B4+Montos!B8+Montos!B9+Montos!B10</f>
        <v>98658.18</v>
      </c>
    </row>
    <row r="128" customFormat="false" ht="15" hidden="false" customHeight="false" outlineLevel="0" collapsed="false">
      <c r="A128" s="10" t="n">
        <v>4</v>
      </c>
      <c r="B128" s="10" t="s">
        <v>140</v>
      </c>
      <c r="C128" s="11" t="n">
        <f aca="false">Montos!B4+Montos!B8+Montos!B9+Montos!B11</f>
        <v>82342.18</v>
      </c>
    </row>
    <row r="129" customFormat="false" ht="15" hidden="false" customHeight="false" outlineLevel="0" collapsed="false">
      <c r="A129" s="10" t="n">
        <v>4</v>
      </c>
      <c r="B129" s="10" t="s">
        <v>141</v>
      </c>
      <c r="C129" s="11" t="n">
        <f aca="false">Montos!B4+Montos!B8+Montos!B10+Montos!B11</f>
        <v>79102.64</v>
      </c>
    </row>
    <row r="130" customFormat="false" ht="15" hidden="false" customHeight="false" outlineLevel="0" collapsed="false">
      <c r="A130" s="10" t="n">
        <v>4</v>
      </c>
      <c r="B130" s="10" t="s">
        <v>142</v>
      </c>
      <c r="C130" s="11" t="n">
        <f aca="false">Montos!B4+Montos!B9+Montos!B10+Montos!B11</f>
        <v>68973.18</v>
      </c>
    </row>
    <row r="131" customFormat="false" ht="15" hidden="false" customHeight="false" outlineLevel="0" collapsed="false">
      <c r="A131" s="10" t="n">
        <v>4</v>
      </c>
      <c r="B131" s="10" t="s">
        <v>143</v>
      </c>
      <c r="C131" s="11" t="n">
        <f aca="false">Montos!B5+Montos!B6+Montos!B7+Montos!B8</f>
        <v>82687</v>
      </c>
    </row>
    <row r="132" customFormat="false" ht="15" hidden="false" customHeight="false" outlineLevel="0" collapsed="false">
      <c r="A132" s="10" t="n">
        <v>4</v>
      </c>
      <c r="B132" s="10" t="s">
        <v>144</v>
      </c>
      <c r="C132" s="11" t="n">
        <f aca="false">Montos!B5+Montos!B6+Montos!B7+Montos!B9</f>
        <v>72557.54</v>
      </c>
    </row>
    <row r="133" customFormat="false" ht="15" hidden="false" customHeight="false" outlineLevel="0" collapsed="false">
      <c r="A133" s="10" t="n">
        <v>4</v>
      </c>
      <c r="B133" s="10" t="s">
        <v>145</v>
      </c>
      <c r="C133" s="11" t="n">
        <f aca="false">Montos!B5+Montos!B6+Montos!B7+Montos!B10</f>
        <v>69318</v>
      </c>
    </row>
    <row r="134" customFormat="false" ht="15" hidden="false" customHeight="false" outlineLevel="0" collapsed="false">
      <c r="A134" s="10" t="n">
        <v>4</v>
      </c>
      <c r="B134" s="10" t="s">
        <v>146</v>
      </c>
      <c r="C134" s="11" t="n">
        <f aca="false">Montos!B5+Montos!B6+Montos!B7+Montos!B11</f>
        <v>53002</v>
      </c>
    </row>
    <row r="135" customFormat="false" ht="15" hidden="false" customHeight="false" outlineLevel="0" collapsed="false">
      <c r="A135" s="10" t="n">
        <v>4</v>
      </c>
      <c r="B135" s="10" t="s">
        <v>147</v>
      </c>
      <c r="C135" s="11" t="n">
        <f aca="false">Montos!B5+Montos!B6+Montos!B8+Montos!B9</f>
        <v>84768.54</v>
      </c>
    </row>
    <row r="136" customFormat="false" ht="15" hidden="false" customHeight="false" outlineLevel="0" collapsed="false">
      <c r="A136" s="10" t="n">
        <v>4</v>
      </c>
      <c r="B136" s="10" t="s">
        <v>148</v>
      </c>
      <c r="C136" s="11" t="n">
        <f aca="false">Montos!B5+Montos!B6+Montos!B8+Montos!B10</f>
        <v>81529</v>
      </c>
    </row>
    <row r="137" customFormat="false" ht="15" hidden="false" customHeight="false" outlineLevel="0" collapsed="false">
      <c r="A137" s="10" t="n">
        <v>4</v>
      </c>
      <c r="B137" s="10" t="s">
        <v>149</v>
      </c>
      <c r="C137" s="11" t="n">
        <f aca="false">Montos!B5+Montos!B6+Montos!B8+Montos!B11</f>
        <v>65213</v>
      </c>
    </row>
    <row r="138" customFormat="false" ht="15" hidden="false" customHeight="false" outlineLevel="0" collapsed="false">
      <c r="A138" s="10" t="n">
        <v>4</v>
      </c>
      <c r="B138" s="10" t="s">
        <v>150</v>
      </c>
      <c r="C138" s="11" t="n">
        <f aca="false">Montos!B5+Montos!B6+Montos!B9+Montos!B10</f>
        <v>71399.54</v>
      </c>
    </row>
    <row r="139" customFormat="false" ht="15" hidden="false" customHeight="false" outlineLevel="0" collapsed="false">
      <c r="A139" s="10" t="n">
        <v>4</v>
      </c>
      <c r="B139" s="10" t="s">
        <v>151</v>
      </c>
      <c r="C139" s="11" t="n">
        <f aca="false">Montos!B5+Montos!B6+Montos!B9+Montos!B11</f>
        <v>55083.54</v>
      </c>
    </row>
    <row r="140" customFormat="false" ht="15" hidden="false" customHeight="false" outlineLevel="0" collapsed="false">
      <c r="A140" s="10" t="n">
        <v>4</v>
      </c>
      <c r="B140" s="10" t="s">
        <v>152</v>
      </c>
      <c r="C140" s="11" t="n">
        <f aca="false">Montos!B5+Montos!B6+Montos!B10+Montos!B11</f>
        <v>51844</v>
      </c>
    </row>
    <row r="141" customFormat="false" ht="15" hidden="false" customHeight="false" outlineLevel="0" collapsed="false">
      <c r="A141" s="10" t="n">
        <v>4</v>
      </c>
      <c r="B141" s="10" t="s">
        <v>153</v>
      </c>
      <c r="C141" s="11" t="n">
        <f aca="false">Montos!B5+Montos!B7+Montos!B8+Montos!B9</f>
        <v>100286.54</v>
      </c>
    </row>
    <row r="142" customFormat="false" ht="15" hidden="false" customHeight="false" outlineLevel="0" collapsed="false">
      <c r="A142" s="10" t="n">
        <v>4</v>
      </c>
      <c r="B142" s="10" t="s">
        <v>154</v>
      </c>
      <c r="C142" s="11" t="n">
        <f aca="false">Montos!B5+Montos!B7+Montos!B8+Montos!B10</f>
        <v>97047</v>
      </c>
    </row>
    <row r="143" customFormat="false" ht="15" hidden="false" customHeight="false" outlineLevel="0" collapsed="false">
      <c r="A143" s="10" t="n">
        <v>4</v>
      </c>
      <c r="B143" s="10" t="s">
        <v>155</v>
      </c>
      <c r="C143" s="11" t="n">
        <f aca="false">Montos!B5+Montos!B7+Montos!B8+Montos!B11</f>
        <v>80731</v>
      </c>
    </row>
    <row r="144" customFormat="false" ht="15" hidden="false" customHeight="false" outlineLevel="0" collapsed="false">
      <c r="A144" s="10" t="n">
        <v>4</v>
      </c>
      <c r="B144" s="10" t="s">
        <v>156</v>
      </c>
      <c r="C144" s="11" t="n">
        <f aca="false">Montos!B5+Montos!B7+Montos!B9+Montos!B10</f>
        <v>86917.54</v>
      </c>
    </row>
    <row r="145" customFormat="false" ht="15" hidden="false" customHeight="false" outlineLevel="0" collapsed="false">
      <c r="A145" s="10" t="n">
        <v>4</v>
      </c>
      <c r="B145" s="10" t="s">
        <v>157</v>
      </c>
      <c r="C145" s="11" t="n">
        <f aca="false">Montos!B5+Montos!B7+Montos!B9+Montos!B11</f>
        <v>70601.54</v>
      </c>
    </row>
    <row r="146" customFormat="false" ht="15" hidden="false" customHeight="false" outlineLevel="0" collapsed="false">
      <c r="A146" s="10" t="n">
        <v>4</v>
      </c>
      <c r="B146" s="10" t="s">
        <v>158</v>
      </c>
      <c r="C146" s="11" t="n">
        <f aca="false">Montos!B5+Montos!B7+Montos!B10+Montos!B11</f>
        <v>67362</v>
      </c>
    </row>
    <row r="147" customFormat="false" ht="15" hidden="false" customHeight="false" outlineLevel="0" collapsed="false">
      <c r="A147" s="10" t="n">
        <v>4</v>
      </c>
      <c r="B147" s="10" t="s">
        <v>159</v>
      </c>
      <c r="C147" s="11" t="n">
        <f aca="false">Montos!B5+Montos!B8+Montos!B9+Montos!B10</f>
        <v>99128.54</v>
      </c>
    </row>
    <row r="148" customFormat="false" ht="15" hidden="false" customHeight="false" outlineLevel="0" collapsed="false">
      <c r="A148" s="10" t="n">
        <v>4</v>
      </c>
      <c r="B148" s="10" t="s">
        <v>160</v>
      </c>
      <c r="C148" s="11" t="n">
        <f aca="false">Montos!B5+Montos!B8+Montos!B9+Montos!B11</f>
        <v>82812.54</v>
      </c>
    </row>
    <row r="149" customFormat="false" ht="15" hidden="false" customHeight="false" outlineLevel="0" collapsed="false">
      <c r="A149" s="10" t="n">
        <v>4</v>
      </c>
      <c r="B149" s="10" t="s">
        <v>161</v>
      </c>
      <c r="C149" s="11" t="n">
        <f aca="false">Montos!B5+Montos!B8+Montos!B10+Montos!B11</f>
        <v>79573</v>
      </c>
    </row>
    <row r="150" customFormat="false" ht="15" hidden="false" customHeight="false" outlineLevel="0" collapsed="false">
      <c r="A150" s="10" t="n">
        <v>4</v>
      </c>
      <c r="B150" s="10" t="s">
        <v>162</v>
      </c>
      <c r="C150" s="11" t="n">
        <f aca="false">Montos!B5+Montos!B9+Montos!B10+Montos!B11</f>
        <v>69443.54</v>
      </c>
    </row>
    <row r="151" customFormat="false" ht="15" hidden="false" customHeight="false" outlineLevel="0" collapsed="false">
      <c r="A151" s="10" t="n">
        <v>4</v>
      </c>
      <c r="B151" s="10" t="s">
        <v>163</v>
      </c>
      <c r="C151" s="11" t="n">
        <f aca="false">Montos!B6+Montos!B7+Montos!B8+Montos!B9</f>
        <v>79686.54</v>
      </c>
    </row>
    <row r="152" customFormat="false" ht="15" hidden="false" customHeight="false" outlineLevel="0" collapsed="false">
      <c r="A152" s="10" t="n">
        <v>4</v>
      </c>
      <c r="B152" s="10" t="s">
        <v>164</v>
      </c>
      <c r="C152" s="11" t="n">
        <f aca="false">Montos!B6+Montos!B7+Montos!B8+Montos!B10</f>
        <v>76447</v>
      </c>
    </row>
    <row r="153" customFormat="false" ht="15" hidden="false" customHeight="false" outlineLevel="0" collapsed="false">
      <c r="A153" s="10" t="n">
        <v>4</v>
      </c>
      <c r="B153" s="10" t="s">
        <v>165</v>
      </c>
      <c r="C153" s="11" t="n">
        <f aca="false">Montos!B6+Montos!B7+Montos!B8+Montos!B11</f>
        <v>60131</v>
      </c>
    </row>
    <row r="154" customFormat="false" ht="15" hidden="false" customHeight="false" outlineLevel="0" collapsed="false">
      <c r="A154" s="10" t="n">
        <v>4</v>
      </c>
      <c r="B154" s="10" t="s">
        <v>166</v>
      </c>
      <c r="C154" s="11" t="n">
        <f aca="false">Montos!B6+Montos!B7+Montos!B9+Montos!B10</f>
        <v>66317.54</v>
      </c>
    </row>
    <row r="155" customFormat="false" ht="15" hidden="false" customHeight="false" outlineLevel="0" collapsed="false">
      <c r="A155" s="10" t="n">
        <v>4</v>
      </c>
      <c r="B155" s="10" t="s">
        <v>167</v>
      </c>
      <c r="C155" s="11" t="n">
        <f aca="false">Montos!B6+Montos!B7+Montos!B9+Montos!B11</f>
        <v>50001.54</v>
      </c>
    </row>
    <row r="156" customFormat="false" ht="15" hidden="false" customHeight="false" outlineLevel="0" collapsed="false">
      <c r="A156" s="10" t="n">
        <v>4</v>
      </c>
      <c r="B156" s="10" t="s">
        <v>168</v>
      </c>
      <c r="C156" s="11" t="n">
        <f aca="false">Montos!B6+Montos!B7+Montos!B10+Montos!B11</f>
        <v>46762</v>
      </c>
    </row>
    <row r="157" customFormat="false" ht="15" hidden="false" customHeight="false" outlineLevel="0" collapsed="false">
      <c r="A157" s="10" t="n">
        <v>4</v>
      </c>
      <c r="B157" s="10" t="s">
        <v>169</v>
      </c>
      <c r="C157" s="11" t="n">
        <f aca="false">Montos!B6+Montos!B8+Montos!B9+Montos!B10</f>
        <v>78528.54</v>
      </c>
    </row>
    <row r="158" customFormat="false" ht="15" hidden="false" customHeight="false" outlineLevel="0" collapsed="false">
      <c r="A158" s="10" t="n">
        <v>4</v>
      </c>
      <c r="B158" s="10" t="s">
        <v>170</v>
      </c>
      <c r="C158" s="11" t="n">
        <f aca="false">Montos!B6+Montos!B8+Montos!B9+Montos!B11</f>
        <v>62212.54</v>
      </c>
    </row>
    <row r="159" customFormat="false" ht="15" hidden="false" customHeight="false" outlineLevel="0" collapsed="false">
      <c r="A159" s="10" t="n">
        <v>4</v>
      </c>
      <c r="B159" s="10" t="s">
        <v>171</v>
      </c>
      <c r="C159" s="11" t="n">
        <f aca="false">Montos!B6+Montos!B8+Montos!B10+Montos!B11</f>
        <v>58973</v>
      </c>
    </row>
    <row r="160" customFormat="false" ht="15" hidden="false" customHeight="false" outlineLevel="0" collapsed="false">
      <c r="A160" s="10" t="n">
        <v>4</v>
      </c>
      <c r="B160" s="10" t="s">
        <v>172</v>
      </c>
      <c r="C160" s="11" t="n">
        <f aca="false">Montos!B6+Montos!B9+Montos!B10+Montos!B11</f>
        <v>48843.54</v>
      </c>
    </row>
    <row r="161" customFormat="false" ht="15" hidden="false" customHeight="false" outlineLevel="0" collapsed="false">
      <c r="A161" s="10" t="n">
        <v>4</v>
      </c>
      <c r="B161" s="10" t="s">
        <v>173</v>
      </c>
      <c r="C161" s="11" t="n">
        <f aca="false">Montos!B7+Montos!B8+Montos!B9+Montos!B10</f>
        <v>94046.54</v>
      </c>
    </row>
    <row r="162" customFormat="false" ht="15" hidden="false" customHeight="false" outlineLevel="0" collapsed="false">
      <c r="A162" s="10" t="n">
        <v>4</v>
      </c>
      <c r="B162" s="10" t="s">
        <v>174</v>
      </c>
      <c r="C162" s="11" t="n">
        <f aca="false">Montos!B7+Montos!B8+Montos!B9+Montos!B11</f>
        <v>77730.54</v>
      </c>
    </row>
    <row r="163" customFormat="false" ht="15" hidden="false" customHeight="false" outlineLevel="0" collapsed="false">
      <c r="A163" s="10" t="n">
        <v>4</v>
      </c>
      <c r="B163" s="10" t="s">
        <v>175</v>
      </c>
      <c r="C163" s="11" t="n">
        <f aca="false">Montos!B7+Montos!B8+Montos!B10+Montos!B11</f>
        <v>74491</v>
      </c>
    </row>
    <row r="164" customFormat="false" ht="15" hidden="false" customHeight="false" outlineLevel="0" collapsed="false">
      <c r="A164" s="10" t="n">
        <v>4</v>
      </c>
      <c r="B164" s="10" t="s">
        <v>176</v>
      </c>
      <c r="C164" s="11" t="n">
        <f aca="false">Montos!B7+Montos!B9+Montos!B10+Montos!B11</f>
        <v>64361.54</v>
      </c>
    </row>
    <row r="165" customFormat="false" ht="15" hidden="false" customHeight="false" outlineLevel="0" collapsed="false">
      <c r="A165" s="10" t="n">
        <v>4</v>
      </c>
      <c r="B165" s="10" t="s">
        <v>177</v>
      </c>
      <c r="C165" s="11" t="n">
        <f aca="false">Montos!B8+Montos!B9+Montos!B10+Montos!B11</f>
        <v>76572.54</v>
      </c>
    </row>
  </sheetData>
  <autoFilter ref="A3:C165"/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</cols>
  <sheetData>
    <row r="1" customFormat="false" ht="18.55" hidden="false" customHeight="false" outlineLevel="0" collapsed="false">
      <c r="A1" s="8" t="s">
        <v>178</v>
      </c>
      <c r="B1" s="8"/>
    </row>
    <row r="3" customFormat="false" ht="15" hidden="false" customHeight="false" outlineLevel="0" collapsed="false">
      <c r="A3" s="12" t="s">
        <v>1</v>
      </c>
      <c r="B3" s="12" t="s">
        <v>2</v>
      </c>
    </row>
    <row r="4" customFormat="false" ht="15" hidden="false" customHeight="false" outlineLevel="0" collapsed="false">
      <c r="A4" s="0" t="s">
        <v>4</v>
      </c>
      <c r="B4" s="13" t="n">
        <v>24839.64</v>
      </c>
    </row>
    <row r="5" customFormat="false" ht="15" hidden="false" customHeight="false" outlineLevel="0" collapsed="false">
      <c r="A5" s="0" t="s">
        <v>6</v>
      </c>
      <c r="B5" s="13" t="n">
        <v>25310</v>
      </c>
    </row>
    <row r="6" customFormat="false" ht="15" hidden="false" customHeight="false" outlineLevel="0" collapsed="false">
      <c r="A6" s="0" t="s">
        <v>7</v>
      </c>
      <c r="B6" s="13" t="n">
        <v>4710</v>
      </c>
    </row>
    <row r="7" customFormat="false" ht="15" hidden="false" customHeight="false" outlineLevel="0" collapsed="false">
      <c r="A7" s="0" t="s">
        <v>8</v>
      </c>
      <c r="B7" s="13" t="n">
        <v>20228.2</v>
      </c>
    </row>
    <row r="8" customFormat="false" ht="15" hidden="false" customHeight="false" outlineLevel="0" collapsed="false">
      <c r="A8" s="0" t="s">
        <v>9</v>
      </c>
      <c r="B8" s="13" t="n">
        <v>32439</v>
      </c>
    </row>
    <row r="9" customFormat="false" ht="15" hidden="false" customHeight="false" outlineLevel="0" collapsed="false">
      <c r="A9" s="0" t="s">
        <v>11</v>
      </c>
      <c r="B9" s="13" t="n">
        <v>22309.54</v>
      </c>
    </row>
    <row r="10" customFormat="false" ht="15" hidden="false" customHeight="false" outlineLevel="0" collapsed="false">
      <c r="A10" s="0" t="s">
        <v>12</v>
      </c>
      <c r="B10" s="13" t="n">
        <v>19070</v>
      </c>
    </row>
    <row r="11" customFormat="false" ht="15" hidden="false" customHeight="false" outlineLevel="0" collapsed="false">
      <c r="A11" s="0" t="s">
        <v>13</v>
      </c>
      <c r="B11" s="13" t="n">
        <v>2754</v>
      </c>
    </row>
    <row r="14" customFormat="false" ht="15" hidden="false" customHeight="false" outlineLevel="0" collapsed="false">
      <c r="A14" s="0" t="s">
        <v>179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2026-09-10T14:20:03Z</dcterms:created>
  <dc:creator>openpyxl</dc:creator>
  <dc:description/>
  <dc:language>en-US</dc:language>
  <cp:lastModifiedBy/>
  <dcterms:modified xsi:type="dcterms:W3CDTF">2026-09-10T10:38:56Z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